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G:\Mon Drive\0. DNA Script Drive\3. RD\RD.2 - DEVELOPMENT\D.12 - Synthesis Operations\S.3 - Prototypes\P1\Quartets\2005\200504_HL_P1_ncovid19_Pool1_131\"/>
    </mc:Choice>
  </mc:AlternateContent>
  <xr:revisionPtr revIDLastSave="0" documentId="13_ncr:1_{AD66649E-A257-4E4C-BD66-BF69E7334BF6}" xr6:coauthVersionLast="45" xr6:coauthVersionMax="45" xr10:uidLastSave="{00000000-0000-0000-0000-000000000000}"/>
  <bookViews>
    <workbookView xWindow="-110" yWindow="-110" windowWidth="19420" windowHeight="10420" firstSheet="8" activeTab="10" xr2:uid="{00000000-000D-0000-FFFF-FFFF00000000}"/>
  </bookViews>
  <sheets>
    <sheet name="General" sheetId="1" r:id="rId1"/>
    <sheet name="Syntheses" sheetId="2" r:id="rId2"/>
    <sheet name="Qty reactants" sheetId="3" r:id="rId3"/>
    <sheet name="Size And Resins" sheetId="4" r:id="rId4"/>
    <sheet name="Gel results" sheetId="6" r:id="rId5"/>
    <sheet name="PSP" sheetId="14" r:id="rId6"/>
    <sheet name="QuantificationFluo Results" sheetId="7" r:id="rId7"/>
    <sheet name="UV quantification" sheetId="8" r:id="rId8"/>
    <sheet name="UV raw data" sheetId="9" r:id="rId9"/>
    <sheet name="UV raw data - direct measure" sheetId="10" r:id="rId10"/>
    <sheet name="OP2" sheetId="11" r:id="rId11"/>
    <sheet name="QuantificationFluo Raw data" sheetId="12" r:id="rId12"/>
    <sheet name="Oligos" sheetId="13" r:id="rId1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21" i="13" l="1"/>
  <c r="C121" i="13"/>
  <c r="P120" i="13"/>
  <c r="C120" i="13"/>
  <c r="P119" i="13"/>
  <c r="C119" i="13"/>
  <c r="P118" i="13"/>
  <c r="C118" i="13"/>
  <c r="P117" i="13"/>
  <c r="C117" i="13"/>
  <c r="P116" i="13"/>
  <c r="C116" i="13"/>
  <c r="P115" i="13"/>
  <c r="C115" i="13"/>
  <c r="P114" i="13"/>
  <c r="C114" i="13"/>
  <c r="P113" i="13"/>
  <c r="C113" i="13"/>
  <c r="P112" i="13"/>
  <c r="C112" i="13"/>
  <c r="P111" i="13"/>
  <c r="C111" i="13"/>
  <c r="R98" i="13"/>
  <c r="E98" i="13"/>
  <c r="M98" i="13" s="1"/>
  <c r="D98" i="13"/>
  <c r="R97" i="13"/>
  <c r="E97" i="13"/>
  <c r="M97" i="13" s="1"/>
  <c r="D97" i="13"/>
  <c r="R96" i="13"/>
  <c r="E96" i="13"/>
  <c r="M96" i="13" s="1"/>
  <c r="D96" i="13"/>
  <c r="R95" i="13"/>
  <c r="E95" i="13"/>
  <c r="M95" i="13" s="1"/>
  <c r="D95" i="13"/>
  <c r="R94" i="13"/>
  <c r="E94" i="13"/>
  <c r="M94" i="13" s="1"/>
  <c r="D94" i="13"/>
  <c r="R93" i="13"/>
  <c r="E93" i="13"/>
  <c r="M93" i="13" s="1"/>
  <c r="D93" i="13"/>
  <c r="R92" i="13"/>
  <c r="E92" i="13"/>
  <c r="M92" i="13" s="1"/>
  <c r="D92" i="13"/>
  <c r="R91" i="13"/>
  <c r="E91" i="13"/>
  <c r="M91" i="13" s="1"/>
  <c r="D91" i="13"/>
  <c r="R90" i="13"/>
  <c r="E90" i="13"/>
  <c r="M90" i="13" s="1"/>
  <c r="D90" i="13"/>
  <c r="R89" i="13"/>
  <c r="E89" i="13"/>
  <c r="M89" i="13" s="1"/>
  <c r="D89" i="13"/>
  <c r="R88" i="13"/>
  <c r="E88" i="13"/>
  <c r="M88" i="13" s="1"/>
  <c r="D88" i="13"/>
  <c r="R87" i="13"/>
  <c r="E87" i="13"/>
  <c r="M87" i="13" s="1"/>
  <c r="D87" i="13"/>
  <c r="R86" i="13"/>
  <c r="E86" i="13"/>
  <c r="M86" i="13" s="1"/>
  <c r="D86" i="13"/>
  <c r="R85" i="13"/>
  <c r="E85" i="13"/>
  <c r="M85" i="13" s="1"/>
  <c r="D85" i="13"/>
  <c r="R84" i="13"/>
  <c r="E84" i="13"/>
  <c r="M84" i="13" s="1"/>
  <c r="D84" i="13"/>
  <c r="R83" i="13"/>
  <c r="E83" i="13"/>
  <c r="M83" i="13" s="1"/>
  <c r="D83" i="13"/>
  <c r="R82" i="13"/>
  <c r="E82" i="13"/>
  <c r="M82" i="13" s="1"/>
  <c r="D82" i="13"/>
  <c r="R81" i="13"/>
  <c r="E81" i="13"/>
  <c r="M81" i="13" s="1"/>
  <c r="D81" i="13"/>
  <c r="R80" i="13"/>
  <c r="E80" i="13"/>
  <c r="M80" i="13" s="1"/>
  <c r="D80" i="13"/>
  <c r="R79" i="13"/>
  <c r="E79" i="13"/>
  <c r="M79" i="13" s="1"/>
  <c r="D79" i="13"/>
  <c r="R78" i="13"/>
  <c r="E78" i="13"/>
  <c r="M78" i="13" s="1"/>
  <c r="D78" i="13"/>
  <c r="R77" i="13"/>
  <c r="E77" i="13"/>
  <c r="M77" i="13" s="1"/>
  <c r="D77" i="13"/>
  <c r="R76" i="13"/>
  <c r="E76" i="13"/>
  <c r="M76" i="13" s="1"/>
  <c r="D76" i="13"/>
  <c r="R75" i="13"/>
  <c r="E75" i="13"/>
  <c r="M75" i="13" s="1"/>
  <c r="D75" i="13"/>
  <c r="R74" i="13"/>
  <c r="E74" i="13"/>
  <c r="D74" i="13"/>
  <c r="R73" i="13"/>
  <c r="E73" i="13"/>
  <c r="F73" i="13" s="1"/>
  <c r="D73" i="13"/>
  <c r="R72" i="13"/>
  <c r="E72" i="13"/>
  <c r="F72" i="13" s="1"/>
  <c r="D72" i="13"/>
  <c r="R71" i="13"/>
  <c r="E71" i="13"/>
  <c r="D71" i="13"/>
  <c r="R70" i="13"/>
  <c r="E70" i="13"/>
  <c r="D70" i="13"/>
  <c r="R69" i="13"/>
  <c r="E69" i="13"/>
  <c r="F69" i="13" s="1"/>
  <c r="D69" i="13"/>
  <c r="R68" i="13"/>
  <c r="E68" i="13"/>
  <c r="L68" i="13" s="1"/>
  <c r="D68" i="13"/>
  <c r="R67" i="13"/>
  <c r="E67" i="13"/>
  <c r="M67" i="13" s="1"/>
  <c r="D67" i="13"/>
  <c r="R66" i="13"/>
  <c r="E66" i="13"/>
  <c r="L66" i="13" s="1"/>
  <c r="D66" i="13"/>
  <c r="R65" i="13"/>
  <c r="E65" i="13"/>
  <c r="M65" i="13" s="1"/>
  <c r="D65" i="13"/>
  <c r="R64" i="13"/>
  <c r="E64" i="13"/>
  <c r="L64" i="13" s="1"/>
  <c r="D64" i="13"/>
  <c r="R63" i="13"/>
  <c r="E63" i="13"/>
  <c r="M63" i="13" s="1"/>
  <c r="D63" i="13"/>
  <c r="R62" i="13"/>
  <c r="E62" i="13"/>
  <c r="L62" i="13" s="1"/>
  <c r="D62" i="13"/>
  <c r="R61" i="13"/>
  <c r="E61" i="13"/>
  <c r="M61" i="13" s="1"/>
  <c r="D61" i="13"/>
  <c r="R60" i="13"/>
  <c r="E60" i="13"/>
  <c r="L60" i="13" s="1"/>
  <c r="D60" i="13"/>
  <c r="R59" i="13"/>
  <c r="E59" i="13"/>
  <c r="M59" i="13" s="1"/>
  <c r="D59" i="13"/>
  <c r="R58" i="13"/>
  <c r="E58" i="13"/>
  <c r="L58" i="13" s="1"/>
  <c r="D58" i="13"/>
  <c r="R57" i="13"/>
  <c r="E57" i="13"/>
  <c r="N57" i="13" s="1"/>
  <c r="D57" i="13"/>
  <c r="R56" i="13"/>
  <c r="E56" i="13"/>
  <c r="D56" i="13"/>
  <c r="R55" i="13"/>
  <c r="E55" i="13"/>
  <c r="L55" i="13" s="1"/>
  <c r="D55" i="13"/>
  <c r="R54" i="13"/>
  <c r="E54" i="13"/>
  <c r="L54" i="13" s="1"/>
  <c r="D54" i="13"/>
  <c r="R53" i="13"/>
  <c r="E53" i="13"/>
  <c r="L53" i="13" s="1"/>
  <c r="D53" i="13"/>
  <c r="R52" i="13"/>
  <c r="E52" i="13"/>
  <c r="D52" i="13"/>
  <c r="R51" i="13"/>
  <c r="E51" i="13"/>
  <c r="L51" i="13" s="1"/>
  <c r="D51" i="13"/>
  <c r="R50" i="13"/>
  <c r="E50" i="13"/>
  <c r="L50" i="13" s="1"/>
  <c r="D50" i="13"/>
  <c r="R49" i="13"/>
  <c r="E49" i="13"/>
  <c r="N49" i="13" s="1"/>
  <c r="D49" i="13"/>
  <c r="R48" i="13"/>
  <c r="E48" i="13"/>
  <c r="D48" i="13"/>
  <c r="R47" i="13"/>
  <c r="E47" i="13"/>
  <c r="L47" i="13" s="1"/>
  <c r="D47" i="13"/>
  <c r="R46" i="13"/>
  <c r="E46" i="13"/>
  <c r="L46" i="13" s="1"/>
  <c r="D46" i="13"/>
  <c r="R45" i="13"/>
  <c r="E45" i="13"/>
  <c r="N45" i="13" s="1"/>
  <c r="D45" i="13"/>
  <c r="R44" i="13"/>
  <c r="E44" i="13"/>
  <c r="D44" i="13"/>
  <c r="R43" i="13"/>
  <c r="E43" i="13"/>
  <c r="L43" i="13" s="1"/>
  <c r="D43" i="13"/>
  <c r="R42" i="13"/>
  <c r="E42" i="13"/>
  <c r="L42" i="13" s="1"/>
  <c r="D42" i="13"/>
  <c r="R41" i="13"/>
  <c r="E41" i="13"/>
  <c r="L41" i="13" s="1"/>
  <c r="D41" i="13"/>
  <c r="R40" i="13"/>
  <c r="E40" i="13"/>
  <c r="D40" i="13"/>
  <c r="R39" i="13"/>
  <c r="E39" i="13"/>
  <c r="L39" i="13" s="1"/>
  <c r="D39" i="13"/>
  <c r="R38" i="13"/>
  <c r="E38" i="13"/>
  <c r="K38" i="13" s="1"/>
  <c r="D38" i="13"/>
  <c r="R37" i="13"/>
  <c r="E37" i="13"/>
  <c r="N37" i="13" s="1"/>
  <c r="D37" i="13"/>
  <c r="R36" i="13"/>
  <c r="E36" i="13"/>
  <c r="D36" i="13"/>
  <c r="R35" i="13"/>
  <c r="E35" i="13"/>
  <c r="L35" i="13" s="1"/>
  <c r="D35" i="13"/>
  <c r="R34" i="13"/>
  <c r="E34" i="13"/>
  <c r="L34" i="13" s="1"/>
  <c r="D34" i="13"/>
  <c r="R33" i="13"/>
  <c r="E33" i="13"/>
  <c r="L33" i="13" s="1"/>
  <c r="D33" i="13"/>
  <c r="R32" i="13"/>
  <c r="E32" i="13"/>
  <c r="D32" i="13"/>
  <c r="R31" i="13"/>
  <c r="E31" i="13"/>
  <c r="L31" i="13" s="1"/>
  <c r="D31" i="13"/>
  <c r="R30" i="13"/>
  <c r="E30" i="13"/>
  <c r="K30" i="13" s="1"/>
  <c r="D30" i="13"/>
  <c r="R29" i="13"/>
  <c r="E29" i="13"/>
  <c r="N29" i="13" s="1"/>
  <c r="D29" i="13"/>
  <c r="R28" i="13"/>
  <c r="E28" i="13"/>
  <c r="D28" i="13"/>
  <c r="R27" i="13"/>
  <c r="E27" i="13"/>
  <c r="L27" i="13" s="1"/>
  <c r="D27" i="13"/>
  <c r="R26" i="13"/>
  <c r="E26" i="13"/>
  <c r="L26" i="13" s="1"/>
  <c r="D26" i="13"/>
  <c r="R25" i="13"/>
  <c r="E25" i="13"/>
  <c r="N25" i="13" s="1"/>
  <c r="D25" i="13"/>
  <c r="R24" i="13"/>
  <c r="E24" i="13"/>
  <c r="D24" i="13"/>
  <c r="R23" i="13"/>
  <c r="E23" i="13"/>
  <c r="L23" i="13" s="1"/>
  <c r="D23" i="13"/>
  <c r="R22" i="13"/>
  <c r="E22" i="13"/>
  <c r="L22" i="13" s="1"/>
  <c r="D22" i="13"/>
  <c r="R21" i="13"/>
  <c r="E21" i="13"/>
  <c r="L21" i="13" s="1"/>
  <c r="D21" i="13"/>
  <c r="R20" i="13"/>
  <c r="E20" i="13"/>
  <c r="D20" i="13"/>
  <c r="R19" i="13"/>
  <c r="E19" i="13"/>
  <c r="M19" i="13" s="1"/>
  <c r="D19" i="13"/>
  <c r="R18" i="13"/>
  <c r="E18" i="13"/>
  <c r="L18" i="13" s="1"/>
  <c r="D18" i="13"/>
  <c r="R17" i="13"/>
  <c r="E17" i="13"/>
  <c r="L17" i="13" s="1"/>
  <c r="D17" i="13"/>
  <c r="R16" i="13"/>
  <c r="E16" i="13"/>
  <c r="L16" i="13" s="1"/>
  <c r="D16" i="13"/>
  <c r="R15" i="13"/>
  <c r="E15" i="13"/>
  <c r="L15" i="13" s="1"/>
  <c r="D15" i="13"/>
  <c r="R14" i="13"/>
  <c r="E14" i="13"/>
  <c r="L14" i="13" s="1"/>
  <c r="D14" i="13"/>
  <c r="R13" i="13"/>
  <c r="E13" i="13"/>
  <c r="L13" i="13" s="1"/>
  <c r="D13" i="13"/>
  <c r="R12" i="13"/>
  <c r="E12" i="13"/>
  <c r="L12" i="13" s="1"/>
  <c r="D12" i="13"/>
  <c r="R11" i="13"/>
  <c r="E11" i="13"/>
  <c r="L11" i="13" s="1"/>
  <c r="D11" i="13"/>
  <c r="R10" i="13"/>
  <c r="E10" i="13"/>
  <c r="L10" i="13" s="1"/>
  <c r="D10" i="13"/>
  <c r="R9" i="13"/>
  <c r="E9" i="13"/>
  <c r="L9" i="13" s="1"/>
  <c r="D9" i="13"/>
  <c r="R8" i="13"/>
  <c r="E8" i="13"/>
  <c r="L8" i="13" s="1"/>
  <c r="D8" i="13"/>
  <c r="R7" i="13"/>
  <c r="E7" i="13"/>
  <c r="L7" i="13" s="1"/>
  <c r="D7" i="13"/>
  <c r="R6" i="13"/>
  <c r="E6" i="13"/>
  <c r="L6" i="13" s="1"/>
  <c r="D6" i="13"/>
  <c r="R5" i="13"/>
  <c r="E5" i="13"/>
  <c r="L5" i="13" s="1"/>
  <c r="D5" i="13"/>
  <c r="R4" i="13"/>
  <c r="E4" i="13"/>
  <c r="L4" i="13" s="1"/>
  <c r="D4" i="13"/>
  <c r="R3" i="13"/>
  <c r="E3" i="13"/>
  <c r="L3" i="13" s="1"/>
  <c r="D3" i="13"/>
  <c r="Q30" i="8"/>
  <c r="AB25" i="8"/>
  <c r="AA25" i="8"/>
  <c r="Z25" i="8"/>
  <c r="Y25" i="8"/>
  <c r="X25" i="8"/>
  <c r="W25" i="8"/>
  <c r="V25" i="8"/>
  <c r="U25" i="8"/>
  <c r="T25" i="8"/>
  <c r="S25" i="8"/>
  <c r="R25" i="8"/>
  <c r="Q25" i="8"/>
  <c r="AB24" i="8"/>
  <c r="AA24" i="8"/>
  <c r="Z24" i="8"/>
  <c r="Y24" i="8"/>
  <c r="X24" i="8"/>
  <c r="W24" i="8"/>
  <c r="V24" i="8"/>
  <c r="U24" i="8"/>
  <c r="T24" i="8"/>
  <c r="S24" i="8"/>
  <c r="R24" i="8"/>
  <c r="Q24" i="8"/>
  <c r="AB23" i="8"/>
  <c r="AA23" i="8"/>
  <c r="Z23" i="8"/>
  <c r="Y23" i="8"/>
  <c r="X23" i="8"/>
  <c r="W23" i="8"/>
  <c r="V23" i="8"/>
  <c r="U23" i="8"/>
  <c r="T23" i="8"/>
  <c r="S23" i="8"/>
  <c r="R23" i="8"/>
  <c r="Q23" i="8"/>
  <c r="AB22" i="8"/>
  <c r="AA22" i="8"/>
  <c r="Z22" i="8"/>
  <c r="Y22" i="8"/>
  <c r="X22" i="8"/>
  <c r="W22" i="8"/>
  <c r="V22" i="8"/>
  <c r="U22" i="8"/>
  <c r="T22" i="8"/>
  <c r="S22" i="8"/>
  <c r="R22" i="8"/>
  <c r="Q22" i="8"/>
  <c r="AB21" i="8"/>
  <c r="AA21" i="8"/>
  <c r="Z21" i="8"/>
  <c r="Y21" i="8"/>
  <c r="X21" i="8"/>
  <c r="W21" i="8"/>
  <c r="V21" i="8"/>
  <c r="U21" i="8"/>
  <c r="T21" i="8"/>
  <c r="S21" i="8"/>
  <c r="R21" i="8"/>
  <c r="Q21" i="8"/>
  <c r="AB20" i="8"/>
  <c r="AA20" i="8"/>
  <c r="Z20" i="8"/>
  <c r="Y20" i="8"/>
  <c r="X20" i="8"/>
  <c r="W20" i="8"/>
  <c r="V20" i="8"/>
  <c r="U20" i="8"/>
  <c r="T20" i="8"/>
  <c r="S20" i="8"/>
  <c r="R20" i="8"/>
  <c r="Q20" i="8"/>
  <c r="AB19" i="8"/>
  <c r="AA19" i="8"/>
  <c r="Z19" i="8"/>
  <c r="Y19" i="8"/>
  <c r="X19" i="8"/>
  <c r="W19" i="8"/>
  <c r="V19" i="8"/>
  <c r="U19" i="8"/>
  <c r="T19" i="8"/>
  <c r="S19" i="8"/>
  <c r="R19" i="8"/>
  <c r="Q19" i="8"/>
  <c r="AB18" i="8"/>
  <c r="AA18" i="8"/>
  <c r="Z18" i="8"/>
  <c r="Y18" i="8"/>
  <c r="X18" i="8"/>
  <c r="W18" i="8"/>
  <c r="V18" i="8"/>
  <c r="U18" i="8"/>
  <c r="T18" i="8"/>
  <c r="S18" i="8"/>
  <c r="R18" i="8"/>
  <c r="Q18" i="8"/>
  <c r="M13" i="8"/>
  <c r="M23" i="8" s="1"/>
  <c r="L13" i="8"/>
  <c r="L23" i="8" s="1"/>
  <c r="K13" i="8"/>
  <c r="K23" i="8" s="1"/>
  <c r="J13" i="8"/>
  <c r="J23" i="8" s="1"/>
  <c r="I13" i="8"/>
  <c r="I23" i="8" s="1"/>
  <c r="H13" i="8"/>
  <c r="H23" i="8" s="1"/>
  <c r="G13" i="8"/>
  <c r="G23" i="8" s="1"/>
  <c r="F13" i="8"/>
  <c r="F23" i="8" s="1"/>
  <c r="F33" i="8" s="1"/>
  <c r="E13" i="8"/>
  <c r="E23" i="8" s="1"/>
  <c r="D13" i="8"/>
  <c r="D23" i="8" s="1"/>
  <c r="C13" i="8"/>
  <c r="C23" i="8" s="1"/>
  <c r="B13" i="8"/>
  <c r="B23" i="8" s="1"/>
  <c r="M12" i="8"/>
  <c r="M22" i="8" s="1"/>
  <c r="L12" i="8"/>
  <c r="L22" i="8" s="1"/>
  <c r="K12" i="8"/>
  <c r="K22" i="8" s="1"/>
  <c r="J12" i="8"/>
  <c r="J22" i="8" s="1"/>
  <c r="J32" i="8" s="1"/>
  <c r="Q73" i="13" s="1"/>
  <c r="I12" i="8"/>
  <c r="I22" i="8" s="1"/>
  <c r="H12" i="8"/>
  <c r="H22" i="8" s="1"/>
  <c r="G12" i="8"/>
  <c r="G22" i="8" s="1"/>
  <c r="F12" i="8"/>
  <c r="F22" i="8" s="1"/>
  <c r="E12" i="8"/>
  <c r="E22" i="8" s="1"/>
  <c r="D12" i="8"/>
  <c r="D22" i="8" s="1"/>
  <c r="C12" i="8"/>
  <c r="C22" i="8" s="1"/>
  <c r="B12" i="8"/>
  <c r="B22" i="8" s="1"/>
  <c r="B32" i="8" s="1"/>
  <c r="Q9" i="13" s="1"/>
  <c r="M11" i="8"/>
  <c r="M21" i="8" s="1"/>
  <c r="L11" i="8"/>
  <c r="L21" i="8" s="1"/>
  <c r="K11" i="8"/>
  <c r="K21" i="8" s="1"/>
  <c r="J11" i="8"/>
  <c r="J21" i="8" s="1"/>
  <c r="I11" i="8"/>
  <c r="I21" i="8" s="1"/>
  <c r="H11" i="8"/>
  <c r="H21" i="8" s="1"/>
  <c r="G11" i="8"/>
  <c r="G21" i="8" s="1"/>
  <c r="F11" i="8"/>
  <c r="F21" i="8" s="1"/>
  <c r="F31" i="8" s="1"/>
  <c r="Q40" i="13" s="1"/>
  <c r="E11" i="8"/>
  <c r="E21" i="8" s="1"/>
  <c r="D11" i="8"/>
  <c r="D21" i="8" s="1"/>
  <c r="C11" i="8"/>
  <c r="C21" i="8" s="1"/>
  <c r="B11" i="8"/>
  <c r="B21" i="8" s="1"/>
  <c r="M10" i="8"/>
  <c r="M20" i="8" s="1"/>
  <c r="L10" i="8"/>
  <c r="L20" i="8" s="1"/>
  <c r="K10" i="8"/>
  <c r="K20" i="8" s="1"/>
  <c r="J10" i="8"/>
  <c r="J20" i="8" s="1"/>
  <c r="J30" i="8" s="1"/>
  <c r="I10" i="8"/>
  <c r="I20" i="8" s="1"/>
  <c r="H10" i="8"/>
  <c r="H20" i="8" s="1"/>
  <c r="G10" i="8"/>
  <c r="G20" i="8" s="1"/>
  <c r="F10" i="8"/>
  <c r="F20" i="8" s="1"/>
  <c r="E10" i="8"/>
  <c r="E20" i="8" s="1"/>
  <c r="D10" i="8"/>
  <c r="D20" i="8" s="1"/>
  <c r="C10" i="8"/>
  <c r="C20" i="8" s="1"/>
  <c r="B10" i="8"/>
  <c r="B20" i="8" s="1"/>
  <c r="B30" i="8" s="1"/>
  <c r="B40" i="8" s="1"/>
  <c r="N40" i="8" s="1"/>
  <c r="M9" i="8"/>
  <c r="M19" i="8" s="1"/>
  <c r="L9" i="8"/>
  <c r="L19" i="8" s="1"/>
  <c r="K9" i="8"/>
  <c r="K19" i="8" s="1"/>
  <c r="J9" i="8"/>
  <c r="J19" i="8" s="1"/>
  <c r="I9" i="8"/>
  <c r="I19" i="8" s="1"/>
  <c r="H9" i="8"/>
  <c r="H19" i="8" s="1"/>
  <c r="G9" i="8"/>
  <c r="G19" i="8" s="1"/>
  <c r="F9" i="8"/>
  <c r="F19" i="8" s="1"/>
  <c r="F29" i="8" s="1"/>
  <c r="E9" i="8"/>
  <c r="E19" i="8" s="1"/>
  <c r="D9" i="8"/>
  <c r="D19" i="8" s="1"/>
  <c r="C9" i="8"/>
  <c r="C19" i="8" s="1"/>
  <c r="B9" i="8"/>
  <c r="B19" i="8" s="1"/>
  <c r="M8" i="8"/>
  <c r="M18" i="8" s="1"/>
  <c r="L8" i="8"/>
  <c r="L18" i="8" s="1"/>
  <c r="K8" i="8"/>
  <c r="K18" i="8" s="1"/>
  <c r="J8" i="8"/>
  <c r="J18" i="8" s="1"/>
  <c r="J28" i="8" s="1"/>
  <c r="Q69" i="13" s="1"/>
  <c r="I8" i="8"/>
  <c r="I18" i="8" s="1"/>
  <c r="H8" i="8"/>
  <c r="H18" i="8" s="1"/>
  <c r="G8" i="8"/>
  <c r="G18" i="8" s="1"/>
  <c r="F8" i="8"/>
  <c r="F18" i="8" s="1"/>
  <c r="E8" i="8"/>
  <c r="E18" i="8" s="1"/>
  <c r="D8" i="8"/>
  <c r="D18" i="8" s="1"/>
  <c r="C8" i="8"/>
  <c r="C18" i="8" s="1"/>
  <c r="B8" i="8"/>
  <c r="B18" i="8" s="1"/>
  <c r="B28" i="8" s="1"/>
  <c r="Q5" i="13" s="1"/>
  <c r="M7" i="8"/>
  <c r="M17" i="8" s="1"/>
  <c r="L7" i="8"/>
  <c r="L17" i="8" s="1"/>
  <c r="K7" i="8"/>
  <c r="K17" i="8" s="1"/>
  <c r="J7" i="8"/>
  <c r="J17" i="8" s="1"/>
  <c r="I7" i="8"/>
  <c r="I17" i="8" s="1"/>
  <c r="H7" i="8"/>
  <c r="H17" i="8" s="1"/>
  <c r="G7" i="8"/>
  <c r="G17" i="8" s="1"/>
  <c r="F7" i="8"/>
  <c r="F17" i="8" s="1"/>
  <c r="F27" i="8" s="1"/>
  <c r="Q36" i="13" s="1"/>
  <c r="E7" i="8"/>
  <c r="E17" i="8" s="1"/>
  <c r="D7" i="8"/>
  <c r="D17" i="8" s="1"/>
  <c r="C7" i="8"/>
  <c r="C17" i="8" s="1"/>
  <c r="B7" i="8"/>
  <c r="B17" i="8" s="1"/>
  <c r="M6" i="8"/>
  <c r="M16" i="8" s="1"/>
  <c r="L6" i="8"/>
  <c r="L16" i="8" s="1"/>
  <c r="K6" i="8"/>
  <c r="K16" i="8" s="1"/>
  <c r="J6" i="8"/>
  <c r="J16" i="8" s="1"/>
  <c r="J26" i="8" s="1"/>
  <c r="I6" i="8"/>
  <c r="I16" i="8" s="1"/>
  <c r="H6" i="8"/>
  <c r="H16" i="8" s="1"/>
  <c r="G6" i="8"/>
  <c r="G16" i="8" s="1"/>
  <c r="F6" i="8"/>
  <c r="F16" i="8" s="1"/>
  <c r="E6" i="8"/>
  <c r="E16" i="8" s="1"/>
  <c r="D6" i="8"/>
  <c r="D16" i="8" s="1"/>
  <c r="C6" i="8"/>
  <c r="C16" i="8" s="1"/>
  <c r="B6" i="8"/>
  <c r="B16" i="8" s="1"/>
  <c r="B26" i="8" s="1"/>
  <c r="B36" i="8" s="1"/>
  <c r="P3" i="13" s="1"/>
  <c r="D110" i="13" s="1" a="1"/>
  <c r="D110" i="13" s="1"/>
  <c r="W13" i="7"/>
  <c r="V13" i="7"/>
  <c r="U13" i="7"/>
  <c r="T13" i="7"/>
  <c r="S13" i="7"/>
  <c r="AD9" i="7"/>
  <c r="AC9" i="7"/>
  <c r="AB9" i="7"/>
  <c r="AA9" i="7"/>
  <c r="Z9" i="7"/>
  <c r="Y9" i="7"/>
  <c r="X9" i="7"/>
  <c r="W9" i="7"/>
  <c r="V9" i="7"/>
  <c r="U9" i="7"/>
  <c r="T9" i="7"/>
  <c r="S9" i="7"/>
  <c r="AD8" i="7"/>
  <c r="AC8" i="7"/>
  <c r="AB8" i="7"/>
  <c r="AA8" i="7"/>
  <c r="Z8" i="7"/>
  <c r="Y8" i="7"/>
  <c r="X8" i="7"/>
  <c r="W8" i="7"/>
  <c r="V8" i="7"/>
  <c r="U8" i="7"/>
  <c r="T8" i="7"/>
  <c r="S8" i="7"/>
  <c r="AD7" i="7"/>
  <c r="AC7" i="7"/>
  <c r="AB7" i="7"/>
  <c r="AA7" i="7"/>
  <c r="Z7" i="7"/>
  <c r="Y7" i="7"/>
  <c r="X7" i="7"/>
  <c r="W7" i="7"/>
  <c r="V7" i="7"/>
  <c r="U7" i="7"/>
  <c r="T7" i="7"/>
  <c r="S7" i="7"/>
  <c r="AD6" i="7"/>
  <c r="AC6" i="7"/>
  <c r="AB6" i="7"/>
  <c r="AA6" i="7"/>
  <c r="Z6" i="7"/>
  <c r="Y6" i="7"/>
  <c r="X6" i="7"/>
  <c r="W6" i="7"/>
  <c r="V6" i="7"/>
  <c r="U6" i="7"/>
  <c r="T6" i="7"/>
  <c r="S6" i="7"/>
  <c r="AD5" i="7"/>
  <c r="AC5" i="7"/>
  <c r="AB5" i="7"/>
  <c r="AA5" i="7"/>
  <c r="Z5" i="7"/>
  <c r="Y5" i="7"/>
  <c r="X5" i="7"/>
  <c r="W5" i="7"/>
  <c r="V5" i="7"/>
  <c r="U5" i="7"/>
  <c r="T5" i="7"/>
  <c r="S5" i="7"/>
  <c r="AD4" i="7"/>
  <c r="AC4" i="7"/>
  <c r="AB4" i="7"/>
  <c r="AA4" i="7"/>
  <c r="Z4" i="7"/>
  <c r="Y4" i="7"/>
  <c r="X4" i="7"/>
  <c r="W4" i="7"/>
  <c r="V4" i="7"/>
  <c r="U4" i="7"/>
  <c r="T4" i="7"/>
  <c r="S4" i="7"/>
  <c r="AD3" i="7"/>
  <c r="AC3" i="7"/>
  <c r="AB3" i="7"/>
  <c r="AA3" i="7"/>
  <c r="Z3" i="7"/>
  <c r="Y3" i="7"/>
  <c r="X3" i="7"/>
  <c r="W3" i="7"/>
  <c r="V3" i="7"/>
  <c r="U3" i="7"/>
  <c r="T3" i="7"/>
  <c r="S3" i="7"/>
  <c r="AD2" i="7"/>
  <c r="AC2" i="7"/>
  <c r="AB2" i="7"/>
  <c r="AA2" i="7"/>
  <c r="Z2" i="7"/>
  <c r="Y2" i="7"/>
  <c r="X2" i="7"/>
  <c r="W2" i="7"/>
  <c r="V2" i="7"/>
  <c r="U2" i="7"/>
  <c r="T2" i="7"/>
  <c r="S2" i="7"/>
  <c r="M15" i="4"/>
  <c r="L15" i="4"/>
  <c r="K15" i="4"/>
  <c r="J15" i="4"/>
  <c r="I15" i="4"/>
  <c r="H15" i="4"/>
  <c r="G15" i="4"/>
  <c r="F15" i="4"/>
  <c r="E15" i="4"/>
  <c r="D15" i="4"/>
  <c r="C15" i="4"/>
  <c r="B15" i="4"/>
  <c r="M14" i="4"/>
  <c r="L14" i="4"/>
  <c r="K14" i="4"/>
  <c r="J14" i="4"/>
  <c r="I14" i="4"/>
  <c r="H14" i="4"/>
  <c r="G14" i="4"/>
  <c r="F14" i="4"/>
  <c r="E14" i="4"/>
  <c r="D14" i="4"/>
  <c r="C14" i="4"/>
  <c r="B14" i="4"/>
  <c r="M13" i="4"/>
  <c r="L13" i="4"/>
  <c r="K13" i="4"/>
  <c r="J13" i="4"/>
  <c r="I13" i="4"/>
  <c r="H13" i="4"/>
  <c r="G13" i="4"/>
  <c r="F13" i="4"/>
  <c r="E13" i="4"/>
  <c r="D13" i="4"/>
  <c r="C13" i="4"/>
  <c r="B13" i="4"/>
  <c r="M12" i="4"/>
  <c r="L12" i="4"/>
  <c r="K12" i="4"/>
  <c r="J12" i="4"/>
  <c r="I12" i="4"/>
  <c r="H12" i="4"/>
  <c r="G12" i="4"/>
  <c r="F12" i="4"/>
  <c r="E12" i="4"/>
  <c r="D12" i="4"/>
  <c r="C12" i="4"/>
  <c r="B12" i="4"/>
  <c r="M11" i="4"/>
  <c r="L11" i="4"/>
  <c r="K11" i="4"/>
  <c r="J11" i="4"/>
  <c r="I11" i="4"/>
  <c r="H11" i="4"/>
  <c r="G11" i="4"/>
  <c r="F11" i="4"/>
  <c r="E11" i="4"/>
  <c r="D11" i="4"/>
  <c r="C11" i="4"/>
  <c r="B11" i="4"/>
  <c r="M10" i="4"/>
  <c r="L10" i="4"/>
  <c r="K10" i="4"/>
  <c r="J10" i="4"/>
  <c r="I10" i="4"/>
  <c r="H10" i="4"/>
  <c r="G10" i="4"/>
  <c r="F10" i="4"/>
  <c r="E10" i="4"/>
  <c r="D10" i="4"/>
  <c r="C10" i="4"/>
  <c r="B10" i="4"/>
  <c r="M9" i="4"/>
  <c r="L9" i="4"/>
  <c r="K9" i="4"/>
  <c r="J9" i="4"/>
  <c r="I9" i="4"/>
  <c r="H9" i="4"/>
  <c r="G9" i="4"/>
  <c r="F9" i="4"/>
  <c r="E9" i="4"/>
  <c r="D9" i="4"/>
  <c r="C9" i="4"/>
  <c r="B9" i="4"/>
  <c r="M8" i="4"/>
  <c r="L8" i="4"/>
  <c r="K8" i="4"/>
  <c r="J8" i="4"/>
  <c r="I8" i="4"/>
  <c r="H8" i="4"/>
  <c r="G8" i="4"/>
  <c r="F8" i="4"/>
  <c r="E8" i="4"/>
  <c r="D8" i="4"/>
  <c r="C8" i="4"/>
  <c r="B8" i="4"/>
  <c r="F37" i="3"/>
  <c r="C33" i="3"/>
  <c r="C41" i="3" s="1"/>
  <c r="B33" i="3"/>
  <c r="B39" i="3" s="1"/>
  <c r="D12" i="3"/>
  <c r="C12" i="3"/>
  <c r="I18" i="3" s="1"/>
  <c r="D11" i="3"/>
  <c r="C11" i="3"/>
  <c r="H18" i="3" s="1"/>
  <c r="D10" i="3"/>
  <c r="C10" i="3"/>
  <c r="G18" i="3" s="1"/>
  <c r="D9" i="3"/>
  <c r="C9" i="3"/>
  <c r="F18" i="3" s="1"/>
  <c r="D8" i="3"/>
  <c r="C8" i="3"/>
  <c r="E18" i="3" s="1"/>
  <c r="I7" i="3"/>
  <c r="L13" i="3" s="1"/>
  <c r="D7" i="3"/>
  <c r="C7" i="3"/>
  <c r="D18" i="3" s="1"/>
  <c r="D6" i="3"/>
  <c r="C6" i="3"/>
  <c r="C18" i="3" s="1"/>
  <c r="D5" i="3"/>
  <c r="C5" i="3"/>
  <c r="B18" i="3" s="1"/>
  <c r="B24" i="3" s="1"/>
  <c r="F1" i="3"/>
  <c r="B1" i="1" s="1"/>
  <c r="D38" i="2"/>
  <c r="B30" i="1"/>
  <c r="B29" i="1"/>
  <c r="B28" i="1"/>
  <c r="B27" i="1"/>
  <c r="B26" i="1"/>
  <c r="B24" i="1"/>
  <c r="B23" i="1"/>
  <c r="B21" i="1"/>
  <c r="B15" i="1"/>
  <c r="B14" i="1"/>
  <c r="B13" i="1"/>
  <c r="B9" i="1"/>
  <c r="B8" i="1"/>
  <c r="B4" i="1"/>
  <c r="C31" i="8" l="1"/>
  <c r="K31" i="8"/>
  <c r="G32" i="8"/>
  <c r="C33" i="8"/>
  <c r="K33" i="8"/>
  <c r="O44" i="13"/>
  <c r="O9" i="13"/>
  <c r="O52" i="13"/>
  <c r="O35" i="13"/>
  <c r="O20" i="13"/>
  <c r="O18" i="13"/>
  <c r="O47" i="13"/>
  <c r="O32" i="13"/>
  <c r="O15" i="13"/>
  <c r="O51" i="13"/>
  <c r="O36" i="13"/>
  <c r="O19" i="13"/>
  <c r="O17" i="13"/>
  <c r="O48" i="13"/>
  <c r="O31" i="13"/>
  <c r="Q80" i="13"/>
  <c r="K41" i="8"/>
  <c r="P80" i="13" s="1"/>
  <c r="Q16" i="13"/>
  <c r="C41" i="8"/>
  <c r="P16" i="13" s="1"/>
  <c r="A5" i="4"/>
  <c r="B5" i="4" s="1"/>
  <c r="C26" i="8"/>
  <c r="Q11" i="13" s="1"/>
  <c r="K26" i="8"/>
  <c r="Q75" i="13" s="1"/>
  <c r="G27" i="8"/>
  <c r="C28" i="8"/>
  <c r="C38" i="8" s="1"/>
  <c r="P13" i="13" s="1"/>
  <c r="K28" i="8"/>
  <c r="G29" i="8"/>
  <c r="C30" i="8"/>
  <c r="K30" i="8"/>
  <c r="G31" i="8"/>
  <c r="C32" i="8"/>
  <c r="K32" i="8"/>
  <c r="G33" i="8"/>
  <c r="Q50" i="13" s="1"/>
  <c r="D26" i="8"/>
  <c r="L26" i="8"/>
  <c r="H27" i="8"/>
  <c r="Q52" i="13" s="1"/>
  <c r="D28" i="8"/>
  <c r="L28" i="8"/>
  <c r="H29" i="8"/>
  <c r="D30" i="8"/>
  <c r="L30" i="8"/>
  <c r="Q87" i="13" s="1"/>
  <c r="H31" i="8"/>
  <c r="D32" i="8"/>
  <c r="L32" i="8"/>
  <c r="Q89" i="13" s="1"/>
  <c r="H33" i="8"/>
  <c r="B38" i="8"/>
  <c r="N38" i="8" s="1"/>
  <c r="B37" i="3"/>
  <c r="E26" i="8"/>
  <c r="M26" i="8"/>
  <c r="Q91" i="13" s="1"/>
  <c r="I27" i="8"/>
  <c r="E28" i="8"/>
  <c r="M28" i="8"/>
  <c r="Q93" i="13" s="1"/>
  <c r="I29" i="8"/>
  <c r="E30" i="8"/>
  <c r="M30" i="8"/>
  <c r="I31" i="8"/>
  <c r="E32" i="8"/>
  <c r="Q33" i="13" s="1"/>
  <c r="M32" i="8"/>
  <c r="I33" i="8"/>
  <c r="J38" i="8"/>
  <c r="P69" i="13" s="1"/>
  <c r="B47" i="1"/>
  <c r="F26" i="8"/>
  <c r="B27" i="8"/>
  <c r="J27" i="8"/>
  <c r="F28" i="8"/>
  <c r="Q37" i="13" s="1"/>
  <c r="B29" i="8"/>
  <c r="J29" i="8"/>
  <c r="F30" i="8"/>
  <c r="Q39" i="13" s="1"/>
  <c r="B31" i="8"/>
  <c r="J31" i="8"/>
  <c r="Q72" i="13" s="1"/>
  <c r="F32" i="8"/>
  <c r="B33" i="8"/>
  <c r="J33" i="8"/>
  <c r="Q74" i="13" s="1"/>
  <c r="B38" i="3"/>
  <c r="G26" i="8"/>
  <c r="C27" i="8"/>
  <c r="Q12" i="13" s="1"/>
  <c r="K27" i="8"/>
  <c r="Q76" i="13" s="1"/>
  <c r="G28" i="8"/>
  <c r="C29" i="8"/>
  <c r="C39" i="8" s="1"/>
  <c r="P14" i="13" s="1"/>
  <c r="K29" i="8"/>
  <c r="K39" i="8" s="1"/>
  <c r="P78" i="13" s="1"/>
  <c r="G30" i="8"/>
  <c r="Q47" i="13" s="1"/>
  <c r="Q3" i="13"/>
  <c r="H26" i="8"/>
  <c r="D27" i="8"/>
  <c r="Q20" i="13" s="1"/>
  <c r="L27" i="8"/>
  <c r="L37" i="8" s="1"/>
  <c r="P84" i="13" s="1"/>
  <c r="H28" i="8"/>
  <c r="D29" i="8"/>
  <c r="L29" i="8"/>
  <c r="H30" i="8"/>
  <c r="Q55" i="13" s="1"/>
  <c r="D31" i="8"/>
  <c r="L31" i="8"/>
  <c r="H32" i="8"/>
  <c r="Q57" i="13" s="1"/>
  <c r="D33" i="8"/>
  <c r="L33" i="8"/>
  <c r="N15" i="4"/>
  <c r="B12" i="1" s="1"/>
  <c r="I26" i="8"/>
  <c r="E27" i="8"/>
  <c r="Q28" i="13" s="1"/>
  <c r="M27" i="8"/>
  <c r="I28" i="8"/>
  <c r="E29" i="8"/>
  <c r="Q30" i="13" s="1"/>
  <c r="M29" i="8"/>
  <c r="I30" i="8"/>
  <c r="E31" i="8"/>
  <c r="M31" i="8"/>
  <c r="I32" i="8"/>
  <c r="Q65" i="13" s="1"/>
  <c r="E33" i="8"/>
  <c r="M33" i="8"/>
  <c r="F41" i="8"/>
  <c r="P40" i="13" s="1"/>
  <c r="P7" i="13"/>
  <c r="Q7" i="13"/>
  <c r="F9" i="13"/>
  <c r="L73" i="13"/>
  <c r="L91" i="13"/>
  <c r="K10" i="13"/>
  <c r="L75" i="13"/>
  <c r="M10" i="13"/>
  <c r="K9" i="13"/>
  <c r="M11" i="13"/>
  <c r="M12" i="13"/>
  <c r="L37" i="13"/>
  <c r="K43" i="13"/>
  <c r="K59" i="13"/>
  <c r="K65" i="13"/>
  <c r="M66" i="13"/>
  <c r="F67" i="13"/>
  <c r="M9" i="13"/>
  <c r="N17" i="13"/>
  <c r="L30" i="13"/>
  <c r="K31" i="13"/>
  <c r="K67" i="13"/>
  <c r="L72" i="13"/>
  <c r="F75" i="13"/>
  <c r="L90" i="13"/>
  <c r="F91" i="13"/>
  <c r="N53" i="13"/>
  <c r="M58" i="13"/>
  <c r="F59" i="13"/>
  <c r="F65" i="13"/>
  <c r="L79" i="13"/>
  <c r="L95" i="13"/>
  <c r="F11" i="13"/>
  <c r="F15" i="13"/>
  <c r="N21" i="13"/>
  <c r="K46" i="13"/>
  <c r="K51" i="13"/>
  <c r="K61" i="13"/>
  <c r="M62" i="13"/>
  <c r="F63" i="13"/>
  <c r="L69" i="13"/>
  <c r="L82" i="13"/>
  <c r="F83" i="13"/>
  <c r="L87" i="13"/>
  <c r="L98" i="13"/>
  <c r="F10" i="13"/>
  <c r="K11" i="13"/>
  <c r="N15" i="13"/>
  <c r="F17" i="13"/>
  <c r="K35" i="13"/>
  <c r="K47" i="13"/>
  <c r="K63" i="13"/>
  <c r="M64" i="13"/>
  <c r="L78" i="13"/>
  <c r="F79" i="13"/>
  <c r="L83" i="13"/>
  <c r="L94" i="13"/>
  <c r="F95" i="13"/>
  <c r="K27" i="13"/>
  <c r="M60" i="13"/>
  <c r="F61" i="13"/>
  <c r="M68" i="13"/>
  <c r="L86" i="13"/>
  <c r="F87" i="13"/>
  <c r="N14" i="13"/>
  <c r="N16" i="13"/>
  <c r="N12" i="13"/>
  <c r="F13" i="13"/>
  <c r="N13" i="13"/>
  <c r="F14" i="13"/>
  <c r="F19" i="13"/>
  <c r="K22" i="13"/>
  <c r="L25" i="13"/>
  <c r="L49" i="13"/>
  <c r="K54" i="13"/>
  <c r="L57" i="13"/>
  <c r="F76" i="13"/>
  <c r="F80" i="13"/>
  <c r="F84" i="13"/>
  <c r="F88" i="13"/>
  <c r="F92" i="13"/>
  <c r="F96" i="13"/>
  <c r="N9" i="13"/>
  <c r="N10" i="13"/>
  <c r="N11" i="13"/>
  <c r="F12" i="13"/>
  <c r="K14" i="13"/>
  <c r="K15" i="13"/>
  <c r="K16" i="13"/>
  <c r="K17" i="13"/>
  <c r="K18" i="13"/>
  <c r="K19" i="13"/>
  <c r="K23" i="13"/>
  <c r="K26" i="13"/>
  <c r="L29" i="13"/>
  <c r="N33" i="13"/>
  <c r="K34" i="13"/>
  <c r="L38" i="13"/>
  <c r="K39" i="13"/>
  <c r="N41" i="13"/>
  <c r="K42" i="13"/>
  <c r="L45" i="13"/>
  <c r="K50" i="13"/>
  <c r="K55" i="13"/>
  <c r="K58" i="13"/>
  <c r="K60" i="13"/>
  <c r="K62" i="13"/>
  <c r="K64" i="13"/>
  <c r="K66" i="13"/>
  <c r="K68" i="13"/>
  <c r="L76" i="13"/>
  <c r="F77" i="13"/>
  <c r="L80" i="13"/>
  <c r="F81" i="13"/>
  <c r="L84" i="13"/>
  <c r="F85" i="13"/>
  <c r="L88" i="13"/>
  <c r="F89" i="13"/>
  <c r="L92" i="13"/>
  <c r="F93" i="13"/>
  <c r="L96" i="13"/>
  <c r="F97" i="13"/>
  <c r="M13" i="13"/>
  <c r="N18" i="13"/>
  <c r="F16" i="13"/>
  <c r="F18" i="13"/>
  <c r="K12" i="13"/>
  <c r="K13" i="13"/>
  <c r="M14" i="13"/>
  <c r="M15" i="13"/>
  <c r="M16" i="13"/>
  <c r="M17" i="13"/>
  <c r="M18" i="13"/>
  <c r="N19" i="13"/>
  <c r="L77" i="13"/>
  <c r="F78" i="13"/>
  <c r="L81" i="13"/>
  <c r="F82" i="13"/>
  <c r="L85" i="13"/>
  <c r="F86" i="13"/>
  <c r="L89" i="13"/>
  <c r="F90" i="13"/>
  <c r="L93" i="13"/>
  <c r="F94" i="13"/>
  <c r="L97" i="13"/>
  <c r="F98" i="13"/>
  <c r="Q48" i="13"/>
  <c r="G41" i="8"/>
  <c r="P48" i="13" s="1"/>
  <c r="Q81" i="13"/>
  <c r="K42" i="8"/>
  <c r="P81" i="13" s="1"/>
  <c r="E24" i="3"/>
  <c r="E25" i="3"/>
  <c r="I24" i="3"/>
  <c r="I25" i="3"/>
  <c r="Q51" i="13"/>
  <c r="H36" i="8"/>
  <c r="Q84" i="13"/>
  <c r="Q85" i="13"/>
  <c r="L38" i="8"/>
  <c r="P85" i="13" s="1"/>
  <c r="Q54" i="13"/>
  <c r="H39" i="8"/>
  <c r="P54" i="13" s="1"/>
  <c r="Q23" i="13"/>
  <c r="D40" i="8"/>
  <c r="P23" i="13" s="1"/>
  <c r="Q56" i="13"/>
  <c r="H41" i="8"/>
  <c r="P56" i="13" s="1"/>
  <c r="Q58" i="13"/>
  <c r="H43" i="8"/>
  <c r="P58" i="13" s="1"/>
  <c r="D25" i="3"/>
  <c r="D24" i="3"/>
  <c r="Q27" i="13"/>
  <c r="E36" i="8"/>
  <c r="Q60" i="13"/>
  <c r="I37" i="8"/>
  <c r="P60" i="13" s="1"/>
  <c r="Q61" i="13"/>
  <c r="I38" i="8"/>
  <c r="P61" i="13" s="1"/>
  <c r="Q94" i="13"/>
  <c r="M39" i="8"/>
  <c r="P94" i="13" s="1"/>
  <c r="Q95" i="13"/>
  <c r="M40" i="8"/>
  <c r="P95" i="13" s="1"/>
  <c r="Q64" i="13"/>
  <c r="I41" i="8"/>
  <c r="P64" i="13" s="1"/>
  <c r="E42" i="8"/>
  <c r="P33" i="13" s="1"/>
  <c r="Q97" i="13"/>
  <c r="M42" i="8"/>
  <c r="P97" i="13" s="1"/>
  <c r="Q34" i="13"/>
  <c r="E43" i="8"/>
  <c r="P34" i="13" s="1"/>
  <c r="Q98" i="13"/>
  <c r="M43" i="8"/>
  <c r="P98" i="13" s="1"/>
  <c r="C25" i="3"/>
  <c r="C24" i="3"/>
  <c r="Q17" i="13"/>
  <c r="C42" i="8"/>
  <c r="P17" i="13" s="1"/>
  <c r="G24" i="3"/>
  <c r="G25" i="3"/>
  <c r="Q19" i="13"/>
  <c r="D36" i="8"/>
  <c r="Q83" i="13"/>
  <c r="L36" i="8"/>
  <c r="Q21" i="13"/>
  <c r="D38" i="8"/>
  <c r="P21" i="13" s="1"/>
  <c r="Q53" i="13"/>
  <c r="H38" i="8"/>
  <c r="P53" i="13" s="1"/>
  <c r="Q22" i="13"/>
  <c r="D39" i="8"/>
  <c r="P22" i="13" s="1"/>
  <c r="L39" i="8"/>
  <c r="P86" i="13" s="1"/>
  <c r="Q86" i="13"/>
  <c r="Q24" i="13"/>
  <c r="D41" i="8"/>
  <c r="P24" i="13" s="1"/>
  <c r="Q88" i="13"/>
  <c r="L41" i="8"/>
  <c r="P88" i="13" s="1"/>
  <c r="Q25" i="13"/>
  <c r="D42" i="8"/>
  <c r="P25" i="13" s="1"/>
  <c r="Q26" i="13"/>
  <c r="D43" i="8"/>
  <c r="P26" i="13" s="1"/>
  <c r="Q90" i="13"/>
  <c r="L43" i="8"/>
  <c r="P90" i="13" s="1"/>
  <c r="Q59" i="13"/>
  <c r="I36" i="8"/>
  <c r="M37" i="8"/>
  <c r="P92" i="13" s="1"/>
  <c r="Q92" i="13"/>
  <c r="Q29" i="13"/>
  <c r="E38" i="8"/>
  <c r="P29" i="13" s="1"/>
  <c r="Q62" i="13"/>
  <c r="I39" i="8"/>
  <c r="P62" i="13" s="1"/>
  <c r="Q31" i="13"/>
  <c r="E40" i="8"/>
  <c r="P31" i="13" s="1"/>
  <c r="Q63" i="13"/>
  <c r="I40" i="8"/>
  <c r="P63" i="13" s="1"/>
  <c r="Q32" i="13"/>
  <c r="E41" i="8"/>
  <c r="P32" i="13" s="1"/>
  <c r="Q96" i="13"/>
  <c r="M41" i="8"/>
  <c r="P96" i="13" s="1"/>
  <c r="Q66" i="13"/>
  <c r="I43" i="8"/>
  <c r="P66" i="13" s="1"/>
  <c r="F24" i="3"/>
  <c r="F25" i="3"/>
  <c r="H25" i="3"/>
  <c r="H24" i="3"/>
  <c r="B25" i="3"/>
  <c r="B26" i="3" s="1"/>
  <c r="C5" i="4"/>
  <c r="AB13" i="7"/>
  <c r="AA13" i="7"/>
  <c r="Q49" i="13"/>
  <c r="G42" i="8"/>
  <c r="P49" i="13" s="1"/>
  <c r="F3" i="13"/>
  <c r="F4" i="13"/>
  <c r="F5" i="13"/>
  <c r="F6" i="13"/>
  <c r="F7" i="13"/>
  <c r="M28" i="13"/>
  <c r="F28" i="13"/>
  <c r="L28" i="13"/>
  <c r="K28" i="13"/>
  <c r="N28" i="13"/>
  <c r="I9" i="3"/>
  <c r="K13" i="3"/>
  <c r="C37" i="3"/>
  <c r="C38" i="3"/>
  <c r="E38" i="3" s="1"/>
  <c r="B41" i="3"/>
  <c r="E41" i="3" s="1"/>
  <c r="C46" i="8"/>
  <c r="B44" i="8"/>
  <c r="N36" i="8"/>
  <c r="C49" i="8"/>
  <c r="B50" i="1" s="1"/>
  <c r="Q35" i="13"/>
  <c r="F36" i="8"/>
  <c r="Q67" i="13"/>
  <c r="J36" i="8"/>
  <c r="Q38" i="13"/>
  <c r="F39" i="8"/>
  <c r="P38" i="13" s="1"/>
  <c r="Q70" i="13"/>
  <c r="J39" i="8"/>
  <c r="P70" i="13" s="1"/>
  <c r="F40" i="8"/>
  <c r="P39" i="13" s="1"/>
  <c r="Q71" i="13"/>
  <c r="J40" i="8"/>
  <c r="P71" i="13" s="1"/>
  <c r="Q42" i="13"/>
  <c r="F43" i="8"/>
  <c r="P42" i="13" s="1"/>
  <c r="K37" i="8"/>
  <c r="P76" i="13" s="1"/>
  <c r="F38" i="8"/>
  <c r="P37" i="13" s="1"/>
  <c r="B42" i="8"/>
  <c r="J42" i="8"/>
  <c r="P73" i="13" s="1"/>
  <c r="C48" i="8"/>
  <c r="B49" i="1" s="1"/>
  <c r="O11" i="13"/>
  <c r="M24" i="13"/>
  <c r="F24" i="13"/>
  <c r="L24" i="13"/>
  <c r="K24" i="13"/>
  <c r="N24" i="13"/>
  <c r="O27" i="13"/>
  <c r="O28" i="13"/>
  <c r="M40" i="13"/>
  <c r="F40" i="13"/>
  <c r="L40" i="13"/>
  <c r="K40" i="13"/>
  <c r="N40" i="13"/>
  <c r="O43" i="13"/>
  <c r="M56" i="13"/>
  <c r="F56" i="13"/>
  <c r="L56" i="13"/>
  <c r="K56" i="13"/>
  <c r="N56" i="13"/>
  <c r="Q78" i="13"/>
  <c r="K3" i="13"/>
  <c r="N3" i="13"/>
  <c r="K4" i="13"/>
  <c r="N4" i="13"/>
  <c r="K5" i="13"/>
  <c r="N5" i="13"/>
  <c r="K6" i="13"/>
  <c r="N6" i="13"/>
  <c r="K7" i="13"/>
  <c r="N7" i="13"/>
  <c r="K8" i="13"/>
  <c r="N8" i="13"/>
  <c r="M32" i="13"/>
  <c r="F32" i="13"/>
  <c r="L32" i="13"/>
  <c r="K32" i="13"/>
  <c r="N32" i="13"/>
  <c r="M48" i="13"/>
  <c r="F48" i="13"/>
  <c r="L48" i="13"/>
  <c r="K48" i="13"/>
  <c r="N48" i="13"/>
  <c r="K74" i="13"/>
  <c r="N74" i="13"/>
  <c r="M74" i="13"/>
  <c r="L74" i="13"/>
  <c r="F74" i="13"/>
  <c r="C39" i="3"/>
  <c r="E39" i="3" s="1"/>
  <c r="Q18" i="13"/>
  <c r="C43" i="8"/>
  <c r="P18" i="13" s="1"/>
  <c r="K43" i="8"/>
  <c r="P82" i="13" s="1"/>
  <c r="Q82" i="13"/>
  <c r="F8" i="13"/>
  <c r="M44" i="13"/>
  <c r="F44" i="13"/>
  <c r="L44" i="13"/>
  <c r="K44" i="13"/>
  <c r="N44" i="13"/>
  <c r="O98" i="13"/>
  <c r="O97" i="13"/>
  <c r="O96" i="13"/>
  <c r="O95" i="13"/>
  <c r="O94" i="13"/>
  <c r="O93" i="13"/>
  <c r="O92" i="13"/>
  <c r="O91" i="13"/>
  <c r="O90" i="13"/>
  <c r="O89" i="13"/>
  <c r="O88" i="13"/>
  <c r="O87" i="13"/>
  <c r="O86" i="13"/>
  <c r="O85" i="13"/>
  <c r="O84" i="13"/>
  <c r="O83" i="13"/>
  <c r="O82" i="13"/>
  <c r="O81" i="13"/>
  <c r="O80" i="13"/>
  <c r="O79" i="13"/>
  <c r="O78" i="13"/>
  <c r="O77" i="13"/>
  <c r="O76" i="13"/>
  <c r="O75" i="13"/>
  <c r="O74" i="13"/>
  <c r="O73" i="13"/>
  <c r="O72" i="13"/>
  <c r="O71" i="13"/>
  <c r="O70" i="13"/>
  <c r="O69" i="13"/>
  <c r="O68" i="13"/>
  <c r="O66" i="13"/>
  <c r="O64" i="13"/>
  <c r="O62" i="13"/>
  <c r="O60" i="13"/>
  <c r="O58" i="13"/>
  <c r="O54" i="13"/>
  <c r="O50" i="13"/>
  <c r="O46" i="13"/>
  <c r="O42" i="13"/>
  <c r="O38" i="13"/>
  <c r="O34" i="13"/>
  <c r="O30" i="13"/>
  <c r="O26" i="13"/>
  <c r="O22" i="13"/>
  <c r="O67" i="13"/>
  <c r="O65" i="13"/>
  <c r="O63" i="13"/>
  <c r="O61" i="13"/>
  <c r="O59" i="13"/>
  <c r="O57" i="13"/>
  <c r="O53" i="13"/>
  <c r="O49" i="13"/>
  <c r="O45" i="13"/>
  <c r="O41" i="13"/>
  <c r="O37" i="13"/>
  <c r="O33" i="13"/>
  <c r="O29" i="13"/>
  <c r="O25" i="13"/>
  <c r="O21" i="13"/>
  <c r="O16" i="13"/>
  <c r="O14" i="13"/>
  <c r="O12" i="13"/>
  <c r="O10" i="13"/>
  <c r="O8" i="13"/>
  <c r="O7" i="13"/>
  <c r="O6" i="13"/>
  <c r="O5" i="13"/>
  <c r="O4" i="13"/>
  <c r="O3" i="13"/>
  <c r="B11" i="1"/>
  <c r="I4" i="3"/>
  <c r="J4" i="3" s="1"/>
  <c r="I5" i="3"/>
  <c r="J5" i="3" s="1"/>
  <c r="I11" i="3"/>
  <c r="Q13" i="13"/>
  <c r="Q45" i="13"/>
  <c r="G38" i="8"/>
  <c r="P45" i="13" s="1"/>
  <c r="Q77" i="13"/>
  <c r="K38" i="8"/>
  <c r="P77" i="13" s="1"/>
  <c r="Q46" i="13"/>
  <c r="G39" i="8"/>
  <c r="P46" i="13" s="1"/>
  <c r="C36" i="8"/>
  <c r="K36" i="8"/>
  <c r="F37" i="8"/>
  <c r="P36" i="13" s="1"/>
  <c r="J41" i="8"/>
  <c r="P72" i="13" s="1"/>
  <c r="M3" i="13"/>
  <c r="M4" i="13"/>
  <c r="M5" i="13"/>
  <c r="M6" i="13"/>
  <c r="M7" i="13"/>
  <c r="M8" i="13"/>
  <c r="O13" i="13"/>
  <c r="Q14" i="13"/>
  <c r="M20" i="13"/>
  <c r="F20" i="13"/>
  <c r="L20" i="13"/>
  <c r="K20" i="13"/>
  <c r="N20" i="13"/>
  <c r="O23" i="13"/>
  <c r="O24" i="13"/>
  <c r="M36" i="13"/>
  <c r="F36" i="13"/>
  <c r="L36" i="13"/>
  <c r="K36" i="13"/>
  <c r="N36" i="13"/>
  <c r="O39" i="13"/>
  <c r="O40" i="13"/>
  <c r="M52" i="13"/>
  <c r="F52" i="13"/>
  <c r="L52" i="13"/>
  <c r="K52" i="13"/>
  <c r="N52" i="13"/>
  <c r="O55" i="13"/>
  <c r="O56" i="13"/>
  <c r="K70" i="13"/>
  <c r="N70" i="13"/>
  <c r="M70" i="13"/>
  <c r="L70" i="13"/>
  <c r="F70" i="13"/>
  <c r="K71" i="13"/>
  <c r="N71" i="13"/>
  <c r="M71" i="13"/>
  <c r="L71" i="13"/>
  <c r="F71" i="13"/>
  <c r="Q110" i="13" a="1"/>
  <c r="M21" i="13"/>
  <c r="F21" i="13"/>
  <c r="K21" i="13"/>
  <c r="M25" i="13"/>
  <c r="F25" i="13"/>
  <c r="K25" i="13"/>
  <c r="M29" i="13"/>
  <c r="F29" i="13"/>
  <c r="K29" i="13"/>
  <c r="M33" i="13"/>
  <c r="F33" i="13"/>
  <c r="K33" i="13"/>
  <c r="M37" i="13"/>
  <c r="F37" i="13"/>
  <c r="K37" i="13"/>
  <c r="M41" i="13"/>
  <c r="F41" i="13"/>
  <c r="K41" i="13"/>
  <c r="M45" i="13"/>
  <c r="F45" i="13"/>
  <c r="K45" i="13"/>
  <c r="M49" i="13"/>
  <c r="F49" i="13"/>
  <c r="K49" i="13"/>
  <c r="M53" i="13"/>
  <c r="F53" i="13"/>
  <c r="K53" i="13"/>
  <c r="M57" i="13"/>
  <c r="F57" i="13"/>
  <c r="K57" i="13"/>
  <c r="L19" i="13"/>
  <c r="M22" i="13"/>
  <c r="F22" i="13"/>
  <c r="N22" i="13"/>
  <c r="M26" i="13"/>
  <c r="F26" i="13"/>
  <c r="N26" i="13"/>
  <c r="M30" i="13"/>
  <c r="F30" i="13"/>
  <c r="N30" i="13"/>
  <c r="M34" i="13"/>
  <c r="F34" i="13"/>
  <c r="N34" i="13"/>
  <c r="M38" i="13"/>
  <c r="F38" i="13"/>
  <c r="N38" i="13"/>
  <c r="M42" i="13"/>
  <c r="F42" i="13"/>
  <c r="N42" i="13"/>
  <c r="M46" i="13"/>
  <c r="F46" i="13"/>
  <c r="N46" i="13"/>
  <c r="M50" i="13"/>
  <c r="F50" i="13"/>
  <c r="N50" i="13"/>
  <c r="M54" i="13"/>
  <c r="F54" i="13"/>
  <c r="N54" i="13"/>
  <c r="N58" i="13"/>
  <c r="F58" i="13"/>
  <c r="N59" i="13"/>
  <c r="L59" i="13"/>
  <c r="N60" i="13"/>
  <c r="F60" i="13"/>
  <c r="N61" i="13"/>
  <c r="L61" i="13"/>
  <c r="N62" i="13"/>
  <c r="F62" i="13"/>
  <c r="N63" i="13"/>
  <c r="L63" i="13"/>
  <c r="N64" i="13"/>
  <c r="F64" i="13"/>
  <c r="N65" i="13"/>
  <c r="L65" i="13"/>
  <c r="N66" i="13"/>
  <c r="F66" i="13"/>
  <c r="N67" i="13"/>
  <c r="L67" i="13"/>
  <c r="N68" i="13"/>
  <c r="F68" i="13"/>
  <c r="K69" i="13"/>
  <c r="N69" i="13"/>
  <c r="M69" i="13"/>
  <c r="K73" i="13"/>
  <c r="N73" i="13"/>
  <c r="M73" i="13"/>
  <c r="M23" i="13"/>
  <c r="F23" i="13"/>
  <c r="N23" i="13"/>
  <c r="M27" i="13"/>
  <c r="F27" i="13"/>
  <c r="N27" i="13"/>
  <c r="M31" i="13"/>
  <c r="F31" i="13"/>
  <c r="N31" i="13"/>
  <c r="M35" i="13"/>
  <c r="F35" i="13"/>
  <c r="N35" i="13"/>
  <c r="M39" i="13"/>
  <c r="F39" i="13"/>
  <c r="N39" i="13"/>
  <c r="M43" i="13"/>
  <c r="F43" i="13"/>
  <c r="N43" i="13"/>
  <c r="M47" i="13"/>
  <c r="F47" i="13"/>
  <c r="N47" i="13"/>
  <c r="M51" i="13"/>
  <c r="F51" i="13"/>
  <c r="N51" i="13"/>
  <c r="M55" i="13"/>
  <c r="F55" i="13"/>
  <c r="N55" i="13"/>
  <c r="K72" i="13"/>
  <c r="N72" i="13"/>
  <c r="M72" i="13"/>
  <c r="K75" i="13"/>
  <c r="N75" i="13"/>
  <c r="K76" i="13"/>
  <c r="N76" i="13"/>
  <c r="K77" i="13"/>
  <c r="N77" i="13"/>
  <c r="K78" i="13"/>
  <c r="N78" i="13"/>
  <c r="K79" i="13"/>
  <c r="N79" i="13"/>
  <c r="K80" i="13"/>
  <c r="N80" i="13"/>
  <c r="K81" i="13"/>
  <c r="N81" i="13"/>
  <c r="K82" i="13"/>
  <c r="N82" i="13"/>
  <c r="K83" i="13"/>
  <c r="N83" i="13"/>
  <c r="K84" i="13"/>
  <c r="N84" i="13"/>
  <c r="K85" i="13"/>
  <c r="N85" i="13"/>
  <c r="K86" i="13"/>
  <c r="N86" i="13"/>
  <c r="K87" i="13"/>
  <c r="N87" i="13"/>
  <c r="K88" i="13"/>
  <c r="N88" i="13"/>
  <c r="K89" i="13"/>
  <c r="N89" i="13"/>
  <c r="K90" i="13"/>
  <c r="N90" i="13"/>
  <c r="K91" i="13"/>
  <c r="N91" i="13"/>
  <c r="K92" i="13"/>
  <c r="N92" i="13"/>
  <c r="K93" i="13"/>
  <c r="N93" i="13"/>
  <c r="K94" i="13"/>
  <c r="N94" i="13"/>
  <c r="K95" i="13"/>
  <c r="N95" i="13"/>
  <c r="K96" i="13"/>
  <c r="N96" i="13"/>
  <c r="K97" i="13"/>
  <c r="N97" i="13"/>
  <c r="K98" i="13"/>
  <c r="N98" i="13"/>
  <c r="P5" i="13" l="1"/>
  <c r="J62" i="13"/>
  <c r="L42" i="8"/>
  <c r="P89" i="13" s="1"/>
  <c r="H37" i="8"/>
  <c r="P52" i="13" s="1"/>
  <c r="E39" i="8"/>
  <c r="P30" i="13" s="1"/>
  <c r="D37" i="8"/>
  <c r="P20" i="13" s="1"/>
  <c r="J24" i="3"/>
  <c r="C37" i="8"/>
  <c r="P12" i="13" s="1"/>
  <c r="M38" i="8"/>
  <c r="P93" i="13" s="1"/>
  <c r="H42" i="8"/>
  <c r="P57" i="13" s="1"/>
  <c r="E26" i="3"/>
  <c r="I26" i="3"/>
  <c r="J12" i="13"/>
  <c r="B43" i="8"/>
  <c r="Q10" i="13"/>
  <c r="Q68" i="13"/>
  <c r="J37" i="8"/>
  <c r="P68" i="13" s="1"/>
  <c r="Q44" i="13"/>
  <c r="G37" i="8"/>
  <c r="P44" i="13" s="1"/>
  <c r="I42" i="8"/>
  <c r="P65" i="13" s="1"/>
  <c r="L40" i="8"/>
  <c r="P87" i="13" s="1"/>
  <c r="Q41" i="13"/>
  <c r="F42" i="8"/>
  <c r="P41" i="13" s="1"/>
  <c r="B37" i="8"/>
  <c r="Q4" i="13"/>
  <c r="J43" i="8"/>
  <c r="P74" i="13" s="1"/>
  <c r="E37" i="8"/>
  <c r="P28" i="13" s="1"/>
  <c r="H40" i="8"/>
  <c r="P55" i="13" s="1"/>
  <c r="B41" i="8"/>
  <c r="Q8" i="13"/>
  <c r="Q79" i="13"/>
  <c r="K40" i="8"/>
  <c r="P79" i="13" s="1"/>
  <c r="G40" i="8"/>
  <c r="P47" i="13" s="1"/>
  <c r="M8" i="7"/>
  <c r="M18" i="7" s="1"/>
  <c r="H26" i="3"/>
  <c r="G43" i="8"/>
  <c r="P50" i="13" s="1"/>
  <c r="Q15" i="13"/>
  <c r="C40" i="8"/>
  <c r="P15" i="13" s="1"/>
  <c r="M36" i="8"/>
  <c r="M44" i="8" s="1"/>
  <c r="Q43" i="13"/>
  <c r="G36" i="8"/>
  <c r="F26" i="3"/>
  <c r="F27" i="3" s="1"/>
  <c r="B39" i="8"/>
  <c r="Q6" i="13"/>
  <c r="J11" i="13"/>
  <c r="J68" i="13"/>
  <c r="J19" i="13"/>
  <c r="J10" i="13"/>
  <c r="J60" i="13"/>
  <c r="J55" i="13"/>
  <c r="J39" i="13"/>
  <c r="J31" i="13"/>
  <c r="J23" i="13"/>
  <c r="J66" i="13"/>
  <c r="J64" i="13"/>
  <c r="J58" i="13"/>
  <c r="J50" i="13"/>
  <c r="J42" i="13"/>
  <c r="J34" i="13"/>
  <c r="J26" i="13"/>
  <c r="J53" i="13"/>
  <c r="J37" i="13"/>
  <c r="J21" i="13"/>
  <c r="J13" i="13"/>
  <c r="J18" i="13"/>
  <c r="J15" i="13"/>
  <c r="J9" i="13"/>
  <c r="J67" i="13"/>
  <c r="J65" i="13"/>
  <c r="J63" i="13"/>
  <c r="J61" i="13"/>
  <c r="J59" i="13"/>
  <c r="J74" i="13"/>
  <c r="J6" i="13"/>
  <c r="J14" i="13"/>
  <c r="J72" i="13"/>
  <c r="J47" i="13"/>
  <c r="J36" i="13"/>
  <c r="J17" i="13"/>
  <c r="J51" i="13"/>
  <c r="J43" i="13"/>
  <c r="J35" i="13"/>
  <c r="J27" i="13"/>
  <c r="J73" i="13"/>
  <c r="J54" i="13"/>
  <c r="J46" i="13"/>
  <c r="J38" i="13"/>
  <c r="J30" i="13"/>
  <c r="J22" i="13"/>
  <c r="J49" i="13"/>
  <c r="J33" i="13"/>
  <c r="J16" i="13"/>
  <c r="J8" i="13"/>
  <c r="J4" i="13"/>
  <c r="P9" i="13"/>
  <c r="N42" i="8"/>
  <c r="J95" i="13"/>
  <c r="J91" i="13"/>
  <c r="J87" i="13"/>
  <c r="J83" i="13"/>
  <c r="J77" i="13"/>
  <c r="P75" i="13"/>
  <c r="K44" i="8"/>
  <c r="J32" i="13"/>
  <c r="J56" i="13"/>
  <c r="B48" i="1"/>
  <c r="C47" i="8"/>
  <c r="B51" i="1" s="1"/>
  <c r="P83" i="13"/>
  <c r="L44" i="8"/>
  <c r="M9" i="7"/>
  <c r="M19" i="7" s="1"/>
  <c r="P11" i="13"/>
  <c r="C44" i="8"/>
  <c r="J48" i="13"/>
  <c r="J7" i="13"/>
  <c r="J5" i="13"/>
  <c r="J3" i="13"/>
  <c r="J24" i="13"/>
  <c r="P67" i="13"/>
  <c r="J44" i="8"/>
  <c r="J28" i="13"/>
  <c r="J25" i="3"/>
  <c r="B27" i="3"/>
  <c r="I8" i="7"/>
  <c r="I18" i="7" s="1"/>
  <c r="P27" i="13"/>
  <c r="E44" i="8"/>
  <c r="D26" i="3"/>
  <c r="D27" i="3" s="1"/>
  <c r="P51" i="13"/>
  <c r="H44" i="8"/>
  <c r="E27" i="3"/>
  <c r="E9" i="7"/>
  <c r="E19" i="7" s="1"/>
  <c r="Q119" i="13"/>
  <c r="Q115" i="13"/>
  <c r="Q111" i="13"/>
  <c r="Q118" i="13"/>
  <c r="Q114" i="13"/>
  <c r="Q117" i="13"/>
  <c r="Q110" i="13"/>
  <c r="Q116" i="13"/>
  <c r="Q113" i="13"/>
  <c r="Q112" i="13"/>
  <c r="Q121" i="13"/>
  <c r="Q120" i="13"/>
  <c r="F44" i="8"/>
  <c r="P35" i="13"/>
  <c r="J97" i="13"/>
  <c r="J93" i="13"/>
  <c r="J89" i="13"/>
  <c r="J85" i="13"/>
  <c r="J81" i="13"/>
  <c r="J79" i="13"/>
  <c r="J75" i="13"/>
  <c r="J71" i="13"/>
  <c r="J20" i="13"/>
  <c r="J40" i="13"/>
  <c r="J57" i="13"/>
  <c r="J41" i="13"/>
  <c r="J25" i="13"/>
  <c r="J70" i="13"/>
  <c r="J98" i="13"/>
  <c r="J96" i="13"/>
  <c r="J94" i="13"/>
  <c r="J92" i="13"/>
  <c r="J90" i="13"/>
  <c r="J88" i="13"/>
  <c r="J86" i="13"/>
  <c r="J84" i="13"/>
  <c r="J82" i="13"/>
  <c r="J80" i="13"/>
  <c r="J78" i="13"/>
  <c r="J76" i="13"/>
  <c r="J69" i="13"/>
  <c r="J45" i="13"/>
  <c r="J29" i="13"/>
  <c r="J52" i="13"/>
  <c r="L11" i="3"/>
  <c r="L12" i="3" s="1"/>
  <c r="K11" i="3"/>
  <c r="K12" i="3" s="1"/>
  <c r="J44" i="13"/>
  <c r="K9" i="3"/>
  <c r="K10" i="3" s="1"/>
  <c r="L9" i="3"/>
  <c r="L9" i="7"/>
  <c r="L19" i="7" s="1"/>
  <c r="H27" i="3"/>
  <c r="P59" i="13"/>
  <c r="I44" i="8"/>
  <c r="P19" i="13"/>
  <c r="D44" i="8"/>
  <c r="G26" i="3"/>
  <c r="G27" i="3" s="1"/>
  <c r="C26" i="3"/>
  <c r="I27" i="3"/>
  <c r="K9" i="7"/>
  <c r="K19" i="7" s="1"/>
  <c r="G9" i="7"/>
  <c r="G19" i="7" s="1"/>
  <c r="C9" i="7"/>
  <c r="C19" i="7" s="1"/>
  <c r="O19" i="7" s="1"/>
  <c r="K8" i="7"/>
  <c r="K18" i="7" s="1"/>
  <c r="G8" i="7"/>
  <c r="G18" i="7" s="1"/>
  <c r="C8" i="7"/>
  <c r="C18" i="7" s="1"/>
  <c r="O18" i="7" s="1"/>
  <c r="N9" i="7"/>
  <c r="N19" i="7" s="1"/>
  <c r="J9" i="7"/>
  <c r="J19" i="7" s="1"/>
  <c r="F9" i="7"/>
  <c r="F19" i="7" s="1"/>
  <c r="N8" i="7"/>
  <c r="N18" i="7" s="1"/>
  <c r="J8" i="7"/>
  <c r="J18" i="7" s="1"/>
  <c r="F8" i="7"/>
  <c r="F18" i="7" s="1"/>
  <c r="N7" i="7"/>
  <c r="N17" i="7" s="1"/>
  <c r="J7" i="7"/>
  <c r="J17" i="7" s="1"/>
  <c r="F7" i="7"/>
  <c r="F17" i="7" s="1"/>
  <c r="N6" i="7"/>
  <c r="N16" i="7" s="1"/>
  <c r="J6" i="7"/>
  <c r="J16" i="7" s="1"/>
  <c r="F6" i="7"/>
  <c r="F16" i="7" s="1"/>
  <c r="N5" i="7"/>
  <c r="N15" i="7" s="1"/>
  <c r="J5" i="7"/>
  <c r="J15" i="7" s="1"/>
  <c r="F5" i="7"/>
  <c r="F15" i="7" s="1"/>
  <c r="N4" i="7"/>
  <c r="N14" i="7" s="1"/>
  <c r="J4" i="7"/>
  <c r="J14" i="7" s="1"/>
  <c r="F4" i="7"/>
  <c r="F14" i="7" s="1"/>
  <c r="N3" i="7"/>
  <c r="N13" i="7" s="1"/>
  <c r="J3" i="7"/>
  <c r="J13" i="7" s="1"/>
  <c r="F3" i="7"/>
  <c r="F13" i="7" s="1"/>
  <c r="N2" i="7"/>
  <c r="N12" i="7" s="1"/>
  <c r="N21" i="7" s="1"/>
  <c r="J2" i="7"/>
  <c r="J12" i="7" s="1"/>
  <c r="J21" i="7" s="1"/>
  <c r="F2" i="7"/>
  <c r="F12" i="7" s="1"/>
  <c r="F21" i="7" s="1"/>
  <c r="H7" i="7"/>
  <c r="H17" i="7" s="1"/>
  <c r="D6" i="7"/>
  <c r="D16" i="7" s="1"/>
  <c r="L5" i="7"/>
  <c r="L15" i="7" s="1"/>
  <c r="H5" i="7"/>
  <c r="H15" i="7" s="1"/>
  <c r="L4" i="7"/>
  <c r="L14" i="7" s="1"/>
  <c r="D4" i="7"/>
  <c r="D14" i="7" s="1"/>
  <c r="L3" i="7"/>
  <c r="L13" i="7" s="1"/>
  <c r="H3" i="7"/>
  <c r="H13" i="7" s="1"/>
  <c r="D2" i="7"/>
  <c r="D12" i="7" s="1"/>
  <c r="D21" i="7" s="1"/>
  <c r="K5" i="7"/>
  <c r="K15" i="7" s="1"/>
  <c r="G2" i="7"/>
  <c r="G12" i="7" s="1"/>
  <c r="G21" i="7" s="1"/>
  <c r="H8" i="7"/>
  <c r="H18" i="7" s="1"/>
  <c r="M7" i="7"/>
  <c r="M17" i="7" s="1"/>
  <c r="I7" i="7"/>
  <c r="I17" i="7" s="1"/>
  <c r="E7" i="7"/>
  <c r="E17" i="7" s="1"/>
  <c r="M6" i="7"/>
  <c r="M16" i="7" s="1"/>
  <c r="I6" i="7"/>
  <c r="I16" i="7" s="1"/>
  <c r="E6" i="7"/>
  <c r="E16" i="7" s="1"/>
  <c r="M5" i="7"/>
  <c r="M15" i="7" s="1"/>
  <c r="I5" i="7"/>
  <c r="I15" i="7" s="1"/>
  <c r="E5" i="7"/>
  <c r="E15" i="7" s="1"/>
  <c r="M4" i="7"/>
  <c r="M14" i="7" s="1"/>
  <c r="I4" i="7"/>
  <c r="I14" i="7" s="1"/>
  <c r="E4" i="7"/>
  <c r="E14" i="7" s="1"/>
  <c r="M3" i="7"/>
  <c r="M13" i="7" s="1"/>
  <c r="I3" i="7"/>
  <c r="I13" i="7" s="1"/>
  <c r="E3" i="7"/>
  <c r="E13" i="7" s="1"/>
  <c r="M2" i="7"/>
  <c r="M12" i="7" s="1"/>
  <c r="M21" i="7" s="1"/>
  <c r="I2" i="7"/>
  <c r="I12" i="7" s="1"/>
  <c r="I21" i="7" s="1"/>
  <c r="E2" i="7"/>
  <c r="E12" i="7" s="1"/>
  <c r="E21" i="7" s="1"/>
  <c r="I9" i="7"/>
  <c r="I19" i="7" s="1"/>
  <c r="L7" i="7"/>
  <c r="L17" i="7" s="1"/>
  <c r="D7" i="7"/>
  <c r="D17" i="7" s="1"/>
  <c r="L6" i="7"/>
  <c r="L16" i="7" s="1"/>
  <c r="H6" i="7"/>
  <c r="H16" i="7" s="1"/>
  <c r="D5" i="7"/>
  <c r="D15" i="7" s="1"/>
  <c r="H4" i="7"/>
  <c r="H14" i="7" s="1"/>
  <c r="D3" i="7"/>
  <c r="D13" i="7" s="1"/>
  <c r="L2" i="7"/>
  <c r="L12" i="7" s="1"/>
  <c r="L21" i="7" s="1"/>
  <c r="H2" i="7"/>
  <c r="H12" i="7" s="1"/>
  <c r="H21" i="7" s="1"/>
  <c r="H9" i="7"/>
  <c r="H19" i="7" s="1"/>
  <c r="L8" i="7"/>
  <c r="L18" i="7" s="1"/>
  <c r="D8" i="7"/>
  <c r="D18" i="7" s="1"/>
  <c r="K7" i="7"/>
  <c r="K17" i="7" s="1"/>
  <c r="G7" i="7"/>
  <c r="G17" i="7" s="1"/>
  <c r="C7" i="7"/>
  <c r="C17" i="7" s="1"/>
  <c r="O17" i="7" s="1"/>
  <c r="K6" i="7"/>
  <c r="K16" i="7" s="1"/>
  <c r="G6" i="7"/>
  <c r="G16" i="7" s="1"/>
  <c r="C6" i="7"/>
  <c r="C16" i="7" s="1"/>
  <c r="O16" i="7" s="1"/>
  <c r="G5" i="7"/>
  <c r="G15" i="7" s="1"/>
  <c r="C5" i="7"/>
  <c r="C15" i="7" s="1"/>
  <c r="O15" i="7" s="1"/>
  <c r="K4" i="7"/>
  <c r="K14" i="7" s="1"/>
  <c r="G4" i="7"/>
  <c r="G14" i="7" s="1"/>
  <c r="C4" i="7"/>
  <c r="C14" i="7" s="1"/>
  <c r="O14" i="7" s="1"/>
  <c r="K3" i="7"/>
  <c r="K13" i="7" s="1"/>
  <c r="G3" i="7"/>
  <c r="G13" i="7" s="1"/>
  <c r="C3" i="7"/>
  <c r="C13" i="7" s="1"/>
  <c r="O13" i="7" s="1"/>
  <c r="K2" i="7"/>
  <c r="K12" i="7" s="1"/>
  <c r="K21" i="7" s="1"/>
  <c r="C2" i="7"/>
  <c r="C40" i="3"/>
  <c r="C42" i="3" s="1"/>
  <c r="D9" i="7"/>
  <c r="D19" i="7" s="1"/>
  <c r="B40" i="3"/>
  <c r="E37" i="3"/>
  <c r="E8" i="7"/>
  <c r="E18" i="7" s="1"/>
  <c r="P91" i="13" l="1"/>
  <c r="J26" i="3"/>
  <c r="N39" i="8"/>
  <c r="P6" i="13"/>
  <c r="P8" i="13"/>
  <c r="N41" i="8"/>
  <c r="P43" i="13"/>
  <c r="G44" i="8"/>
  <c r="N37" i="8"/>
  <c r="P4" i="13"/>
  <c r="N43" i="8"/>
  <c r="P10" i="13"/>
  <c r="C27" i="3"/>
  <c r="L10" i="3"/>
  <c r="C12" i="7"/>
  <c r="B41" i="1"/>
  <c r="E40" i="3"/>
  <c r="B42" i="3"/>
  <c r="O12" i="7" l="1"/>
  <c r="B23" i="7"/>
  <c r="C21" i="7"/>
  <c r="B26" i="7"/>
  <c r="B44" i="1" s="1"/>
  <c r="B25" i="7"/>
  <c r="B43" i="1" s="1"/>
  <c r="B24" i="7" l="1"/>
  <c r="B45" i="1" s="1"/>
  <c r="B42" i="1"/>
</calcChain>
</file>

<file path=xl/sharedStrings.xml><?xml version="1.0" encoding="utf-8"?>
<sst xmlns="http://schemas.openxmlformats.org/spreadsheetml/2006/main" count="1221" uniqueCount="716">
  <si>
    <t>Plate ID</t>
  </si>
  <si>
    <t>Request from</t>
  </si>
  <si>
    <t>HL</t>
  </si>
  <si>
    <t>Date</t>
  </si>
  <si>
    <t>200504</t>
  </si>
  <si>
    <t>Week</t>
  </si>
  <si>
    <t>Category</t>
  </si>
  <si>
    <t>Other</t>
  </si>
  <si>
    <t>Vacuum manifold temperature</t>
  </si>
  <si>
    <t>55°C</t>
  </si>
  <si>
    <t>Script name</t>
  </si>
  <si>
    <t>Plate type</t>
  </si>
  <si>
    <t>Samples</t>
  </si>
  <si>
    <t>Max Oligo Length</t>
  </si>
  <si>
    <t>Resin type</t>
  </si>
  <si>
    <t>Resin batch</t>
  </si>
  <si>
    <t>Resin qtty</t>
  </si>
  <si>
    <t>Caco 2M</t>
  </si>
  <si>
    <t>CoCl2</t>
  </si>
  <si>
    <t>Tween20 10%</t>
  </si>
  <si>
    <t>Deblock buffer</t>
  </si>
  <si>
    <t>Wash buffer</t>
  </si>
  <si>
    <t>DMSO final concentration</t>
  </si>
  <si>
    <t>Tween 20 final concentration</t>
  </si>
  <si>
    <t>Enzyme</t>
  </si>
  <si>
    <t>Enzyme final concentration (µM)</t>
  </si>
  <si>
    <t>Enzyme in premix</t>
  </si>
  <si>
    <t>in EB</t>
  </si>
  <si>
    <t>Nucleotide final concentration (µM)</t>
  </si>
  <si>
    <t>dATP-ONH2</t>
  </si>
  <si>
    <t>dCTP-ONH2</t>
  </si>
  <si>
    <t>dGTP-ONH2</t>
  </si>
  <si>
    <t>dTTP-ONH2</t>
  </si>
  <si>
    <t>Run status</t>
  </si>
  <si>
    <t>Comment on the run</t>
  </si>
  <si>
    <t>Cleavage type</t>
  </si>
  <si>
    <t>On filter plate</t>
  </si>
  <si>
    <t>Comment on PSP</t>
  </si>
  <si>
    <t>Total PSP elution volume</t>
  </si>
  <si>
    <t>Invitek desalting</t>
  </si>
  <si>
    <t>Average volume / well after elution</t>
  </si>
  <si>
    <t>Fluorescence</t>
  </si>
  <si>
    <t>Average concentration (µM)</t>
  </si>
  <si>
    <t>Average DNA quantity /well (pmol)</t>
  </si>
  <si>
    <t>Min DNA quantity (pmol)</t>
  </si>
  <si>
    <t>Max DNA quantity (pmol)</t>
  </si>
  <si>
    <t>CV</t>
  </si>
  <si>
    <t>UV (260m)</t>
  </si>
  <si>
    <t>Quality of synthesis</t>
  </si>
  <si>
    <t>Non-elongated</t>
  </si>
  <si>
    <t>"+1" band</t>
  </si>
  <si>
    <t>Impurities</t>
  </si>
  <si>
    <t>Mock</t>
  </si>
  <si>
    <t>dispTime25_nuc</t>
  </si>
  <si>
    <t>dispTime25_enzyme</t>
  </si>
  <si>
    <t>dispDBTime</t>
  </si>
  <si>
    <t>dispBBTime</t>
  </si>
  <si>
    <t>QUARTET CONTROL</t>
  </si>
  <si>
    <t>Sequences</t>
  </si>
  <si>
    <t>A</t>
  </si>
  <si>
    <t>ACCAACCAACTTTCGATCTCTTGT</t>
  </si>
  <si>
    <t>TGCACAGGTGACAATTTGTCCA</t>
  </si>
  <si>
    <t>TCGCACAAATGTCTACTTAGCTGT</t>
  </si>
  <si>
    <t>GCTGTTATGTACATGGGCACACT</t>
  </si>
  <si>
    <t>GCAATTGTTTTTCAGCTATTTTGCAGT</t>
  </si>
  <si>
    <t>ACTTTTGAAGAAGCTGCGCTGT</t>
  </si>
  <si>
    <t>GTTCCCTTCCATCATATGCAGCT</t>
  </si>
  <si>
    <t>AGGACTGGTATGATTTTGTAGAAAACCC</t>
  </si>
  <si>
    <t>ACTCAACTTTACTTAGGAGGTATGAGCT</t>
  </si>
  <si>
    <t>TGTTAAGCGTGTTGACTGGACT</t>
  </si>
  <si>
    <t>ACAAATCCAATTCAGTTGTCTTCCTATTC</t>
  </si>
  <si>
    <t>GTGGTGATTCAACTGAATGCAGC</t>
  </si>
  <si>
    <t>B</t>
  </si>
  <si>
    <t>CATCTTTAAGATGTTGACGTGCCTC</t>
  </si>
  <si>
    <t>AGGTGACAATTTGTCCACCGAC</t>
  </si>
  <si>
    <t>ACCACAGCAGTTAAAACACCCT</t>
  </si>
  <si>
    <t>TGTCCAACTTAGGGTCAATTTCTGT</t>
  </si>
  <si>
    <t>ACTGTAGTGACAAGTCTCTCGCA</t>
  </si>
  <si>
    <t>TGGACAGTAAACTACGTCATCAAGC</t>
  </si>
  <si>
    <t>TGGTATGACAACCATTAGTTTGGCT</t>
  </si>
  <si>
    <t>AATAACGGTCAAAGAGTTTTAACCTCTC</t>
  </si>
  <si>
    <t>GGTGTACTCTCCTATTTGTACTTTACTGT</t>
  </si>
  <si>
    <t>ACAAACTGCCACCATCACAACC</t>
  </si>
  <si>
    <t>TGGAAAAGAAAGGTAAGAACAAGTCCT</t>
  </si>
  <si>
    <t>CATTTCATCTGTGAGCAAAGGTGG</t>
  </si>
  <si>
    <t>C</t>
  </si>
  <si>
    <t>CGGTAATAAAGGAGCTGGTGGC</t>
  </si>
  <si>
    <t>TCCCACAGAAGTGTTAACAGAGGA</t>
  </si>
  <si>
    <t>ACAGTGCTTAAAAAGTGTAAAAGTGCC</t>
  </si>
  <si>
    <t>TGGCTATTGATTATAAACACTACACACCC</t>
  </si>
  <si>
    <t>ACTACAGTCAGCTTATGTGTCAACC</t>
  </si>
  <si>
    <t>TGTTCGCATTCAACCAGGACAG</t>
  </si>
  <si>
    <t>TACGACAGATGTCTTGTGCTGC</t>
  </si>
  <si>
    <t>AGGAATTACTTGTGTATGCTGCTGA</t>
  </si>
  <si>
    <t>ATTCTACACTCCAGGGACCACC</t>
  </si>
  <si>
    <t>GCTGGCTTTAGCTTGTGGGTTT</t>
  </si>
  <si>
    <t>CAATTTTGTAATGATCCATTTTTGGGTGT</t>
  </si>
  <si>
    <t>GCACTTGGAAAACTTCAAGATGTGG</t>
  </si>
  <si>
    <t>D</t>
  </si>
  <si>
    <t>AAGGTGTCTGCAATTCATAGCTCT</t>
  </si>
  <si>
    <t>TTCCCACAGAAGTGTTAACAGAGG</t>
  </si>
  <si>
    <t>AGTGCTTAAAAAGTGTAAAAGTGCCT</t>
  </si>
  <si>
    <t>GGCTATTGATTATAAACACTACACACCCT</t>
  </si>
  <si>
    <t>AATACAAGCACCAAGGTCACGG</t>
  </si>
  <si>
    <t>ACTTCATAGCCACAAGGTTAAAGTCA</t>
  </si>
  <si>
    <t>AGCAGCATCTACAGCAAAAGCA</t>
  </si>
  <si>
    <t>TGACGATGACTTGGTTAGCATTAATACA</t>
  </si>
  <si>
    <t>GTAATTGAGCAGGGTCGCCAAT</t>
  </si>
  <si>
    <t>TGTCAGTCATAGAACAAACACCAATAGT</t>
  </si>
  <si>
    <t>CACCAGCTGTCCAACCTGAAGA</t>
  </si>
  <si>
    <t>GTGAAGTTCTTTTCTTGTGCAGGG</t>
  </si>
  <si>
    <t>E</t>
  </si>
  <si>
    <t>TGGTGAAACTTCATGGCAGACG</t>
  </si>
  <si>
    <t>ATGACAGCATCTGCCACAACAC</t>
  </si>
  <si>
    <t>AACAGAAACTGTAGCTGGCACT</t>
  </si>
  <si>
    <t>TAGATCTGTGTGGCCAACCTCT</t>
  </si>
  <si>
    <t>ACTTGTGTTCCTTTTTGTTGCTGC</t>
  </si>
  <si>
    <t>ACACACCACTGGTTGTTACTCAC</t>
  </si>
  <si>
    <t>TACCTACAACTTGTGCTAATGACCC</t>
  </si>
  <si>
    <t>TCAATAGCCGCCACTAGAGGAG</t>
  </si>
  <si>
    <t>TCACGCATGATGTTTCATCTGCA</t>
  </si>
  <si>
    <t>GTTGTCCAACAATTACCTGAAACTTACT</t>
  </si>
  <si>
    <t>AGAGTCCAACCAACAGAATCTATTGT</t>
  </si>
  <si>
    <t>TCCTTTGCAACCTGAATTAGACTCA</t>
  </si>
  <si>
    <t>F</t>
  </si>
  <si>
    <t>ATTGATGTTGACTTTCTCTTTTTGGAGT</t>
  </si>
  <si>
    <t>GACAGCATCTGCCACAACACAG</t>
  </si>
  <si>
    <t>ACTGTAGCTGGCACTTTGAGAGA</t>
  </si>
  <si>
    <t>GATCTGTGTGGCCAACCTCTTC</t>
  </si>
  <si>
    <t>AGTGTACTCTATAAGTTTTGATGGTGTGT</t>
  </si>
  <si>
    <t>GTCCACACTCTCCTAGCACCAT</t>
  </si>
  <si>
    <t>AGTATGTACAAATACCTACAACTTGTGCT</t>
  </si>
  <si>
    <t>AGTGCATTAACATTGGCCGTGA</t>
  </si>
  <si>
    <t>AAGAGTCCTGTTACATTTTCAGCTTG</t>
  </si>
  <si>
    <t>CAACCTTAGAAACTACAGATAAATCTTGGG</t>
  </si>
  <si>
    <t>ACCACCAACCTTAGAATCAAGATTGT</t>
  </si>
  <si>
    <t>TTTGACTCCTTTGAGCACTGGC</t>
  </si>
  <si>
    <t>G</t>
  </si>
  <si>
    <t>ATCAGAGGCTGCTCGTGTTGTA</t>
  </si>
  <si>
    <t>GGAATTTGGTGCCACTTCTGCT</t>
  </si>
  <si>
    <t>CTTCTTTCTTTGAGAGAAGTGAGGACT</t>
  </si>
  <si>
    <t>ACAACTACTAACATAGTTACACGGTGT</t>
  </si>
  <si>
    <t>TTCTGAGTACTGTAGGCACGGC</t>
  </si>
  <si>
    <t>AGTATTGCCCTATTTTCTTCATAACTGGT</t>
  </si>
  <si>
    <t>AAATTGTTTCTTCATGTTGGTAGTTAGAGA</t>
  </si>
  <si>
    <t>AGCAAAATGTTGGACTGAGACTGA</t>
  </si>
  <si>
    <t>TGTTTATCACCCGCGAAGAAGC</t>
  </si>
  <si>
    <t>TGTCGCAAAATATACTCAACTGTGTCA</t>
  </si>
  <si>
    <t>CCAGCAACTGTTTGTGGACCTA</t>
  </si>
  <si>
    <t>ACTAGCACTCTCCAAGGGTGTT</t>
  </si>
  <si>
    <t>H</t>
  </si>
  <si>
    <t>CATTTGCATCAGAGGCTGCTCG</t>
  </si>
  <si>
    <t>TCATCAGATTCAACTTGCATGGCA</t>
  </si>
  <si>
    <t>TTTGTTGGAGTGTTAACAATGCAGT</t>
  </si>
  <si>
    <t>ACCAGTACAGTAGGTTGCAATAGTG</t>
  </si>
  <si>
    <t>ACAGAATAAACACCAGGTAAGAATGAGT</t>
  </si>
  <si>
    <t>TGTAACTGGACACATTGAGCCC</t>
  </si>
  <si>
    <t>TTCATGTTGGTAGTTAGAGAAAGTGTGTC</t>
  </si>
  <si>
    <t>AGCCTCATAAAACTCAGGTTCCC</t>
  </si>
  <si>
    <t>ATCACATAGACAACAGGTGCGC</t>
  </si>
  <si>
    <t>TCTTTATAGCCACGGAACCTCCA</t>
  </si>
  <si>
    <t>CAGCCCCTATTAAACAGCCTGC</t>
  </si>
  <si>
    <t>ACACAGTCTTTTACTCCAGATTCCC</t>
  </si>
  <si>
    <t>Plate Plan</t>
  </si>
  <si>
    <t>nCoV-2019_1_LEFT</t>
  </si>
  <si>
    <t>nCoV-2019_7_RIGHT</t>
  </si>
  <si>
    <t>nCoV-2019_13_LEFT</t>
  </si>
  <si>
    <t>nCoV-2019_19_LEFT</t>
  </si>
  <si>
    <t>nCoV-2019_25_LEFT</t>
  </si>
  <si>
    <t>nCoV-2019_33_LEFT</t>
  </si>
  <si>
    <t>nCoV-2019_41_LEFT</t>
  </si>
  <si>
    <t>nCoV-2019_47_LEFT</t>
  </si>
  <si>
    <t>nCoV-2019_55_LEFT</t>
  </si>
  <si>
    <t>nCoV-2019_63_LEFT</t>
  </si>
  <si>
    <t>nCoV-2019_71_LEFT</t>
  </si>
  <si>
    <t>nCoV-2019_79_LEFT</t>
  </si>
  <si>
    <t>nCoV-2019_1_RIGHT</t>
  </si>
  <si>
    <t>nCoV-2019_7_RIGHT_alt5</t>
  </si>
  <si>
    <t>nCoV-2019_13_RIGHT</t>
  </si>
  <si>
    <t>nCoV-2019_19_RIGHT</t>
  </si>
  <si>
    <t>nCoV-2019_25_RIGHT</t>
  </si>
  <si>
    <t>nCoV-2019_33_RIGHT</t>
  </si>
  <si>
    <t>nCoV-2019_41_RIGHT</t>
  </si>
  <si>
    <t>nCoV-2019_47_RIGHT</t>
  </si>
  <si>
    <t>nCoV-2019_55_RIGHT</t>
  </si>
  <si>
    <t>nCoV-2019_63_RIGHT</t>
  </si>
  <si>
    <t>nCoV-2019_71_RIGHT</t>
  </si>
  <si>
    <t>nCoV-2019_79_RIGHT</t>
  </si>
  <si>
    <t>nCoV-2019_3_LEFT</t>
  </si>
  <si>
    <t>nCoV-2019_9_LEFT</t>
  </si>
  <si>
    <t>nCoV-2019_15_LEFT</t>
  </si>
  <si>
    <t>nCoV-2019_21_LEFT</t>
  </si>
  <si>
    <t>nCoV-2019_27_LEFT</t>
  </si>
  <si>
    <t>nCoV-2019_35_LEFT</t>
  </si>
  <si>
    <t>nCoV-2019_43_LEFT</t>
  </si>
  <si>
    <t>nCoV-2019_49_LEFT</t>
  </si>
  <si>
    <t>nCoV-2019_57_LEFT</t>
  </si>
  <si>
    <t>nCoV-2019_65_LEFT</t>
  </si>
  <si>
    <t>nCoV-2019_73_LEFT</t>
  </si>
  <si>
    <t>nCoV-2019_81_LEFT</t>
  </si>
  <si>
    <t>nCoV-2019_3_RIGHT</t>
  </si>
  <si>
    <t>nCoV-2019_9_LEFT_alt4</t>
  </si>
  <si>
    <t>nCoV-2019_15_LEFT_alt1</t>
  </si>
  <si>
    <t>nCoV-2019_21_LEFT_alt2</t>
  </si>
  <si>
    <t>nCoV-2019_27_RIGHT</t>
  </si>
  <si>
    <t>nCoV-2019_35_RIGHT</t>
  </si>
  <si>
    <t>nCoV-2019_43_RIGHT</t>
  </si>
  <si>
    <t>nCoV-2019_49_RIGHT</t>
  </si>
  <si>
    <t>nCoV-2019_57_RIGHT</t>
  </si>
  <si>
    <t>nCoV-2019_65_RIGHT</t>
  </si>
  <si>
    <t>nCoV-2019_73_RIGHT</t>
  </si>
  <si>
    <t>nCoV-2019_81_RIGHT</t>
  </si>
  <si>
    <t>nCoV-2019_5_LEFT</t>
  </si>
  <si>
    <t>nCoV-2019_9_RIGHT</t>
  </si>
  <si>
    <t>nCoV-2019_15_RIGHT</t>
  </si>
  <si>
    <t>nCoV-2019_21_RIGHT</t>
  </si>
  <si>
    <t>nCoV-2019_29_LEFT</t>
  </si>
  <si>
    <t>nCoV-2019_37_LEFT</t>
  </si>
  <si>
    <t>nCoV-2019_45_LEFT</t>
  </si>
  <si>
    <t>nCoV-2019_51_LEFT</t>
  </si>
  <si>
    <t>nCoV-2019_59_LEFT</t>
  </si>
  <si>
    <t>nCoV-2019_67_LEFT</t>
  </si>
  <si>
    <t>nCoV-2019_75_LEFT</t>
  </si>
  <si>
    <t>nCoV-2019_83_LEFT</t>
  </si>
  <si>
    <t>nCoV-2019_5_RIGHT</t>
  </si>
  <si>
    <t>nCoV-2019_9_RIGHT_alt2</t>
  </si>
  <si>
    <t>nCoV-2019_15_RIGHT_alt3</t>
  </si>
  <si>
    <t>nCoV-2019_21_RIGHT_alt0</t>
  </si>
  <si>
    <t>nCoV-2019_29_RIGHT</t>
  </si>
  <si>
    <t>nCoV-2019_37_RIGHT</t>
  </si>
  <si>
    <t>nCoV-2019_45_LEFT_alt2</t>
  </si>
  <si>
    <t>nCoV-2019_51_RIGHT</t>
  </si>
  <si>
    <t>nCoV-2019_59_RIGHT</t>
  </si>
  <si>
    <t>nCoV-2019_67_RIGHT</t>
  </si>
  <si>
    <t>nCoV-2019_75_RIGHT</t>
  </si>
  <si>
    <t>nCoV-2019_83_RIGHT</t>
  </si>
  <si>
    <t>nCoV-2019_7_LEFT</t>
  </si>
  <si>
    <t>nCoV-2019_11_LEFT</t>
  </si>
  <si>
    <t>nCoV-2019_17_LEFT</t>
  </si>
  <si>
    <t>nCoV-2019_23_LEFT</t>
  </si>
  <si>
    <t>nCoV-2019_31_LEFT</t>
  </si>
  <si>
    <t>nCoV-2019_39_LEFT</t>
  </si>
  <si>
    <t>nCoV-2019_45_RIGHT</t>
  </si>
  <si>
    <t>nCoV-2019_53_LEFT</t>
  </si>
  <si>
    <t>nCoV-2019_61_LEFT</t>
  </si>
  <si>
    <t>nCoV-2019_69_LEFT</t>
  </si>
  <si>
    <t>nCoV-2019_77_LEFT</t>
  </si>
  <si>
    <t>nCoV-2019_85_LEFT</t>
  </si>
  <si>
    <t>nCoV-2019_7_LEFT_alt0</t>
  </si>
  <si>
    <t>nCoV-2019_11_RIGHT</t>
  </si>
  <si>
    <t>nCoV-2019_17_RIGHT</t>
  </si>
  <si>
    <t>nCoV-2019_23_RIGHT</t>
  </si>
  <si>
    <t>nCoV-2019_31_RIGHT</t>
  </si>
  <si>
    <t>nCoV-2019_39_RIGHT</t>
  </si>
  <si>
    <t>nCoV-2019_45_RIGHT_alt7</t>
  </si>
  <si>
    <t>nCoV-2019_53_RIGHT</t>
  </si>
  <si>
    <t>nCoV-2019_61_RIGHT</t>
  </si>
  <si>
    <t>nCoV-2019_69_RIGHT</t>
  </si>
  <si>
    <t>nCoV-2019_77_RIGHT</t>
  </si>
  <si>
    <t>nCoV-2019_85_RIGHT</t>
  </si>
  <si>
    <t>Parameters</t>
  </si>
  <si>
    <t>Family</t>
  </si>
  <si>
    <t>Parameter</t>
  </si>
  <si>
    <t>Value</t>
  </si>
  <si>
    <t>Description</t>
  </si>
  <si>
    <t>Volumes</t>
  </si>
  <si>
    <t>NucsVolume</t>
  </si>
  <si>
    <t>uL</t>
  </si>
  <si>
    <t>EBVolume</t>
  </si>
  <si>
    <t>DBVolume1</t>
  </si>
  <si>
    <t>DBVolume2</t>
  </si>
  <si>
    <t>BBVolume2</t>
  </si>
  <si>
    <t>Times</t>
  </si>
  <si>
    <t>Elong_time</t>
  </si>
  <si>
    <t>s</t>
  </si>
  <si>
    <t>VacuumTime</t>
  </si>
  <si>
    <t>s (25 for +50mers !)</t>
  </si>
  <si>
    <t>BBTime</t>
  </si>
  <si>
    <t>DBTime</t>
  </si>
  <si>
    <t>Minimum reactant volumes</t>
  </si>
  <si>
    <t>Buffers</t>
  </si>
  <si>
    <t>With Dead Volume</t>
  </si>
  <si>
    <t>Premix</t>
  </si>
  <si>
    <t>ml</t>
  </si>
  <si>
    <t>nb</t>
  </si>
  <si>
    <t>BB</t>
  </si>
  <si>
    <t>DB</t>
  </si>
  <si>
    <t>T</t>
  </si>
  <si>
    <t>Enz X1</t>
  </si>
  <si>
    <t>Enz X10</t>
  </si>
  <si>
    <t>M</t>
  </si>
  <si>
    <t>Wash</t>
  </si>
  <si>
    <t>3xCleav100ul</t>
  </si>
  <si>
    <t>Cleav 10X</t>
  </si>
  <si>
    <t>N</t>
  </si>
  <si>
    <t>H20</t>
  </si>
  <si>
    <t>O</t>
  </si>
  <si>
    <t>Cleaving</t>
  </si>
  <si>
    <t>P</t>
  </si>
  <si>
    <t>Endo V</t>
  </si>
  <si>
    <t>Dead Volume</t>
  </si>
  <si>
    <t>% of water to remove</t>
  </si>
  <si>
    <t>Mult</t>
  </si>
  <si>
    <t xml:space="preserve"> </t>
  </si>
  <si>
    <t>Total</t>
  </si>
  <si>
    <t>Tot Volume</t>
  </si>
  <si>
    <t>Nucleotide</t>
  </si>
  <si>
    <t>/</t>
  </si>
  <si>
    <t>dU</t>
  </si>
  <si>
    <t>Nucl Lot</t>
  </si>
  <si>
    <t>NA-17</t>
  </si>
  <si>
    <t>NG-23</t>
  </si>
  <si>
    <t>Nucl conc Stock (uM)</t>
  </si>
  <si>
    <t>Nucl Final Conc (uM)</t>
  </si>
  <si>
    <t>DMSO (%)</t>
  </si>
  <si>
    <t>Nucl Stock</t>
  </si>
  <si>
    <t>pure DMSO</t>
  </si>
  <si>
    <t>Enzyme Nb</t>
  </si>
  <si>
    <t>Name</t>
  </si>
  <si>
    <t>M57</t>
  </si>
  <si>
    <t>Enz</t>
  </si>
  <si>
    <t>H1</t>
  </si>
  <si>
    <t>Enz conc Stock</t>
  </si>
  <si>
    <t>Enz Final Conc</t>
  </si>
  <si>
    <t>Caco 2M 7.4</t>
  </si>
  <si>
    <t>CoCl2 100mM</t>
  </si>
  <si>
    <t>Enz Stock</t>
  </si>
  <si>
    <t>T20 10%</t>
  </si>
  <si>
    <t>QUARTET CONTROL 96</t>
  </si>
  <si>
    <t>1-15mers</t>
  </si>
  <si>
    <t>16-39 mers</t>
  </si>
  <si>
    <t>40+mers</t>
  </si>
  <si>
    <t>Max Length</t>
  </si>
  <si>
    <t>Plate</t>
  </si>
  <si>
    <t>96 wwPTFE (PALL 8584)</t>
  </si>
  <si>
    <t>Resins</t>
  </si>
  <si>
    <t>Batches</t>
  </si>
  <si>
    <t>dI Scarless / dI Fluo</t>
  </si>
  <si>
    <t>dI Scarless</t>
  </si>
  <si>
    <t>Qantity</t>
  </si>
  <si>
    <t>750pmol</t>
  </si>
  <si>
    <t>Script</t>
  </si>
  <si>
    <t>ElongationCycleSeparatedTwoEnzyme</t>
  </si>
  <si>
    <t>C(µM)</t>
  </si>
  <si>
    <t>Intensity</t>
  </si>
  <si>
    <t>Concentration</t>
  </si>
  <si>
    <t>Fluorescent read (raw data)</t>
  </si>
  <si>
    <t>volume</t>
  </si>
  <si>
    <t>Average Line</t>
  </si>
  <si>
    <t>Calibration curve fluorescent read</t>
  </si>
  <si>
    <t>Calibration</t>
  </si>
  <si>
    <t>C (µM)</t>
  </si>
  <si>
    <t>pente</t>
  </si>
  <si>
    <t>Ordonnée Origine</t>
  </si>
  <si>
    <t>Quantity (pmol)</t>
  </si>
  <si>
    <t>Average Column</t>
  </si>
  <si>
    <t>Average Plate</t>
  </si>
  <si>
    <t>Min</t>
  </si>
  <si>
    <t>Max</t>
  </si>
  <si>
    <t>ANALYSIS</t>
  </si>
  <si>
    <t>DATA</t>
  </si>
  <si>
    <t>UV 260</t>
  </si>
  <si>
    <t>Calculate the average of blanks if you have any on your plate</t>
  </si>
  <si>
    <t>EXTINCTION COEFF</t>
  </si>
  <si>
    <t>Avg blank</t>
  </si>
  <si>
    <t>RAW</t>
  </si>
  <si>
    <t>W/O BLANK</t>
  </si>
  <si>
    <t>SEQUENCE</t>
  </si>
  <si>
    <t>DILUTION TO CHECK (Q32)</t>
  </si>
  <si>
    <t>CALC. PARAMETERS</t>
  </si>
  <si>
    <t>Pathlength</t>
  </si>
  <si>
    <t>cm</t>
  </si>
  <si>
    <t>Epoch Volume</t>
  </si>
  <si>
    <t>µL</t>
  </si>
  <si>
    <t>Epoch Dilution</t>
  </si>
  <si>
    <t>Eluted Volume</t>
  </si>
  <si>
    <t>n (pmol)</t>
  </si>
  <si>
    <t>Line avg</t>
  </si>
  <si>
    <t>RESIN</t>
  </si>
  <si>
    <t>Col avg</t>
  </si>
  <si>
    <t>Minimum</t>
  </si>
  <si>
    <t>Maximum</t>
  </si>
  <si>
    <t>Software Version</t>
  </si>
  <si>
    <t>03.08.01</t>
  </si>
  <si>
    <t>Experiment File Path:</t>
  </si>
  <si>
    <t>C:\Users\Public\Documents\Experiments\20200113-T-NT-012-PrimerSet-repro-M57.xpt</t>
  </si>
  <si>
    <t>Protocol File Path:</t>
  </si>
  <si>
    <t>C:\Users\Public\Documents\Protocols\absorbance 230-260-280-900-977.prt</t>
  </si>
  <si>
    <t>Plate Number</t>
  </si>
  <si>
    <t>Plate 1</t>
  </si>
  <si>
    <t>Time</t>
  </si>
  <si>
    <t>Reader Type:</t>
  </si>
  <si>
    <t>Epoch</t>
  </si>
  <si>
    <t>Reader Serial Number:</t>
  </si>
  <si>
    <t>Reading Type</t>
  </si>
  <si>
    <t>Reader</t>
  </si>
  <si>
    <t>Procedure Details</t>
  </si>
  <si>
    <t>Plate Type</t>
  </si>
  <si>
    <t>Greiner 96 half area flat bottom</t>
  </si>
  <si>
    <t>Eject plate on completion</t>
  </si>
  <si>
    <t>Read</t>
  </si>
  <si>
    <t>Absorbance Endpoint</t>
  </si>
  <si>
    <t>Full Plate</t>
  </si>
  <si>
    <t>Wavelengths: 230, 260, 280, 900, 977</t>
  </si>
  <si>
    <t>Read Speed: Sweep, Delay: 0 msec, Measurements/Data Point: 1</t>
  </si>
  <si>
    <t>Actual Temperature:</t>
  </si>
  <si>
    <t>Purity</t>
  </si>
  <si>
    <t>Prediction</t>
  </si>
  <si>
    <t>Colonne1</t>
  </si>
  <si>
    <t>Index</t>
  </si>
  <si>
    <t>Well</t>
  </si>
  <si>
    <t>ID</t>
  </si>
  <si>
    <t>Sequence (5' -&gt; 3') - Capital letters</t>
  </si>
  <si>
    <t>Size</t>
  </si>
  <si>
    <t>Line</t>
  </si>
  <si>
    <t>Column</t>
  </si>
  <si>
    <t>DifficultyScore</t>
  </si>
  <si>
    <t>CCCC</t>
  </si>
  <si>
    <t>CCTA</t>
  </si>
  <si>
    <t>CCCA</t>
  </si>
  <si>
    <t>GGG</t>
  </si>
  <si>
    <t>Title</t>
  </si>
  <si>
    <t>Quantification 
(pmol)</t>
  </si>
  <si>
    <t>Concentration
(µM)</t>
  </si>
  <si>
    <t>OP2 Purity
 (%)</t>
  </si>
  <si>
    <t>Comment</t>
  </si>
  <si>
    <t>To do</t>
  </si>
  <si>
    <t>1_A1</t>
  </si>
  <si>
    <t>A1</t>
  </si>
  <si>
    <t>1</t>
  </si>
  <si>
    <t>1_B1</t>
  </si>
  <si>
    <t>B1</t>
  </si>
  <si>
    <t>1_C1</t>
  </si>
  <si>
    <t>C1</t>
  </si>
  <si>
    <t>1_D1</t>
  </si>
  <si>
    <t>D1</t>
  </si>
  <si>
    <t>1_E1</t>
  </si>
  <si>
    <t>E1</t>
  </si>
  <si>
    <t>1_F1</t>
  </si>
  <si>
    <t>F1</t>
  </si>
  <si>
    <t>1_G1</t>
  </si>
  <si>
    <t>G1</t>
  </si>
  <si>
    <t>1_H1</t>
  </si>
  <si>
    <t>1_A2</t>
  </si>
  <si>
    <t>A2</t>
  </si>
  <si>
    <t>2</t>
  </si>
  <si>
    <t>1_B2</t>
  </si>
  <si>
    <t>B2</t>
  </si>
  <si>
    <t>1_C2</t>
  </si>
  <si>
    <t>C2</t>
  </si>
  <si>
    <t>1_D2</t>
  </si>
  <si>
    <t>D2</t>
  </si>
  <si>
    <t>1_E2</t>
  </si>
  <si>
    <t>E2</t>
  </si>
  <si>
    <t>1_F2</t>
  </si>
  <si>
    <t>F2</t>
  </si>
  <si>
    <t>1_G2</t>
  </si>
  <si>
    <t>G2</t>
  </si>
  <si>
    <t>1_H2</t>
  </si>
  <si>
    <t>H2</t>
  </si>
  <si>
    <t>1_A3</t>
  </si>
  <si>
    <t>A3</t>
  </si>
  <si>
    <t>3</t>
  </si>
  <si>
    <t>1_B3</t>
  </si>
  <si>
    <t>B3</t>
  </si>
  <si>
    <t>1_C3</t>
  </si>
  <si>
    <t>C3</t>
  </si>
  <si>
    <t>1_D3</t>
  </si>
  <si>
    <t>D3</t>
  </si>
  <si>
    <t>1_E3</t>
  </si>
  <si>
    <t>E3</t>
  </si>
  <si>
    <t>1_F3</t>
  </si>
  <si>
    <t>F3</t>
  </si>
  <si>
    <t>1_G3</t>
  </si>
  <si>
    <t>G3</t>
  </si>
  <si>
    <t>1_H3</t>
  </si>
  <si>
    <t>H3</t>
  </si>
  <si>
    <t>1_A4</t>
  </si>
  <si>
    <t>A4</t>
  </si>
  <si>
    <t>4</t>
  </si>
  <si>
    <t>1_B4</t>
  </si>
  <si>
    <t>B4</t>
  </si>
  <si>
    <t>1_C4</t>
  </si>
  <si>
    <t>C4</t>
  </si>
  <si>
    <t>1_D4</t>
  </si>
  <si>
    <t>D4</t>
  </si>
  <si>
    <t>1_E4</t>
  </si>
  <si>
    <t>E4</t>
  </si>
  <si>
    <t>1_F4</t>
  </si>
  <si>
    <t>F4</t>
  </si>
  <si>
    <t>1_G4</t>
  </si>
  <si>
    <t>G4</t>
  </si>
  <si>
    <t>1_H4</t>
  </si>
  <si>
    <t>H4</t>
  </si>
  <si>
    <t>1_A5</t>
  </si>
  <si>
    <t>A5</t>
  </si>
  <si>
    <t>5</t>
  </si>
  <si>
    <t>1_B5</t>
  </si>
  <si>
    <t>B5</t>
  </si>
  <si>
    <t>1_C5</t>
  </si>
  <si>
    <t>C5</t>
  </si>
  <si>
    <t>1_D5</t>
  </si>
  <si>
    <t>D5</t>
  </si>
  <si>
    <t>1_E5</t>
  </si>
  <si>
    <t>E5</t>
  </si>
  <si>
    <t>1_F5</t>
  </si>
  <si>
    <t>F5</t>
  </si>
  <si>
    <t>1_G5</t>
  </si>
  <si>
    <t>G5</t>
  </si>
  <si>
    <t>1_H5</t>
  </si>
  <si>
    <t>H5</t>
  </si>
  <si>
    <t>1_A6</t>
  </si>
  <si>
    <t>A6</t>
  </si>
  <si>
    <t>6</t>
  </si>
  <si>
    <t>1_B6</t>
  </si>
  <si>
    <t>B6</t>
  </si>
  <si>
    <t>1_C6</t>
  </si>
  <si>
    <t>C6</t>
  </si>
  <si>
    <t>1_D6</t>
  </si>
  <si>
    <t>D6</t>
  </si>
  <si>
    <t>1_E6</t>
  </si>
  <si>
    <t>E6</t>
  </si>
  <si>
    <t>1_F6</t>
  </si>
  <si>
    <t>F6</t>
  </si>
  <si>
    <t>1_G6</t>
  </si>
  <si>
    <t>G6</t>
  </si>
  <si>
    <t>1_H6</t>
  </si>
  <si>
    <t>H6</t>
  </si>
  <si>
    <t>1_A7</t>
  </si>
  <si>
    <t>A7</t>
  </si>
  <si>
    <t>7</t>
  </si>
  <si>
    <t>1_B7</t>
  </si>
  <si>
    <t>B7</t>
  </si>
  <si>
    <t>1_C7</t>
  </si>
  <si>
    <t>C7</t>
  </si>
  <si>
    <t>1_D7</t>
  </si>
  <si>
    <t>D7</t>
  </si>
  <si>
    <t>1_E7</t>
  </si>
  <si>
    <t>E7</t>
  </si>
  <si>
    <t>1_F7</t>
  </si>
  <si>
    <t>F7</t>
  </si>
  <si>
    <t>1_G7</t>
  </si>
  <si>
    <t>G7</t>
  </si>
  <si>
    <t>1_H7</t>
  </si>
  <si>
    <t>H7</t>
  </si>
  <si>
    <t>1_A8</t>
  </si>
  <si>
    <t>A8</t>
  </si>
  <si>
    <t>8</t>
  </si>
  <si>
    <t>1_B8</t>
  </si>
  <si>
    <t>B8</t>
  </si>
  <si>
    <t>1_C8</t>
  </si>
  <si>
    <t>C8</t>
  </si>
  <si>
    <t>1_D8</t>
  </si>
  <si>
    <t>D8</t>
  </si>
  <si>
    <t>1_E8</t>
  </si>
  <si>
    <t>E8</t>
  </si>
  <si>
    <t>1_F8</t>
  </si>
  <si>
    <t>F8</t>
  </si>
  <si>
    <t>1_G8</t>
  </si>
  <si>
    <t>G8</t>
  </si>
  <si>
    <t>1_H8</t>
  </si>
  <si>
    <t>H8</t>
  </si>
  <si>
    <t>1_A9</t>
  </si>
  <si>
    <t>A9</t>
  </si>
  <si>
    <t>9</t>
  </si>
  <si>
    <t>1_B9</t>
  </si>
  <si>
    <t>B9</t>
  </si>
  <si>
    <t>1_C9</t>
  </si>
  <si>
    <t>C9</t>
  </si>
  <si>
    <t>1_D9</t>
  </si>
  <si>
    <t>D9</t>
  </si>
  <si>
    <t>1_E9</t>
  </si>
  <si>
    <t>E9</t>
  </si>
  <si>
    <t>1_F9</t>
  </si>
  <si>
    <t>F9</t>
  </si>
  <si>
    <t>1_G9</t>
  </si>
  <si>
    <t>G9</t>
  </si>
  <si>
    <t>1_H9</t>
  </si>
  <si>
    <t>H9</t>
  </si>
  <si>
    <t>1_A10</t>
  </si>
  <si>
    <t>A10</t>
  </si>
  <si>
    <t>10</t>
  </si>
  <si>
    <t>1_B10</t>
  </si>
  <si>
    <t>B10</t>
  </si>
  <si>
    <t>1_C10</t>
  </si>
  <si>
    <t>C10</t>
  </si>
  <si>
    <t>1_D10</t>
  </si>
  <si>
    <t>D10</t>
  </si>
  <si>
    <t>1_E10</t>
  </si>
  <si>
    <t>E10</t>
  </si>
  <si>
    <t>1_F10</t>
  </si>
  <si>
    <t>F10</t>
  </si>
  <si>
    <t>1_G10</t>
  </si>
  <si>
    <t>G10</t>
  </si>
  <si>
    <t>1_H10</t>
  </si>
  <si>
    <t>H10</t>
  </si>
  <si>
    <t>1_A11</t>
  </si>
  <si>
    <t>A11</t>
  </si>
  <si>
    <t>11</t>
  </si>
  <si>
    <t>1_B11</t>
  </si>
  <si>
    <t>B11</t>
  </si>
  <si>
    <t>1_C11</t>
  </si>
  <si>
    <t>C11</t>
  </si>
  <si>
    <t>1_D11</t>
  </si>
  <si>
    <t>D11</t>
  </si>
  <si>
    <t>1_E11</t>
  </si>
  <si>
    <t>E11</t>
  </si>
  <si>
    <t>1_F11</t>
  </si>
  <si>
    <t>F11</t>
  </si>
  <si>
    <t>1_G11</t>
  </si>
  <si>
    <t>G11</t>
  </si>
  <si>
    <t>1_H11</t>
  </si>
  <si>
    <t>H11</t>
  </si>
  <si>
    <t>1_A12</t>
  </si>
  <si>
    <t>A12</t>
  </si>
  <si>
    <t>12</t>
  </si>
  <si>
    <t>1_B12</t>
  </si>
  <si>
    <t>B12</t>
  </si>
  <si>
    <t>1_C12</t>
  </si>
  <si>
    <t>C12</t>
  </si>
  <si>
    <t>1_D12</t>
  </si>
  <si>
    <t>D12</t>
  </si>
  <si>
    <t>1_E12</t>
  </si>
  <si>
    <t>E12</t>
  </si>
  <si>
    <t>1_F12</t>
  </si>
  <si>
    <t>F12</t>
  </si>
  <si>
    <t>1_G12</t>
  </si>
  <si>
    <t>G12</t>
  </si>
  <si>
    <t>1_H12</t>
  </si>
  <si>
    <t>H12</t>
  </si>
  <si>
    <t>Histograms</t>
  </si>
  <si>
    <t>Quantity</t>
  </si>
  <si>
    <t>Bins</t>
  </si>
  <si>
    <t>Range</t>
  </si>
  <si>
    <t>Count</t>
  </si>
  <si>
    <t>&lt;0</t>
  </si>
  <si>
    <t>NL200320</t>
  </si>
  <si>
    <t>R283 20200429,4</t>
  </si>
  <si>
    <t>NC-17</t>
  </si>
  <si>
    <t>NT-18</t>
  </si>
  <si>
    <t>Filter plate washes</t>
  </si>
  <si>
    <t>Acoording to WI0015</t>
  </si>
  <si>
    <t>Dead vol included</t>
  </si>
  <si>
    <t>12 col &amp; 2 tips/well</t>
  </si>
  <si>
    <t>4 wells/col in Reservoir</t>
  </si>
  <si>
    <t>Buffer</t>
  </si>
  <si>
    <t>Vol/well</t>
  </si>
  <si>
    <t>Nbr of washes</t>
  </si>
  <si>
    <t>Wells</t>
  </si>
  <si>
    <t>Vol tot min (µL)</t>
  </si>
  <si>
    <t>Dead volume</t>
  </si>
  <si>
    <t>Vol/well of reservoir</t>
  </si>
  <si>
    <t>Volume to prepare (mL)</t>
  </si>
  <si>
    <t>Reservoir &amp; Col</t>
  </si>
  <si>
    <t>H2O #1</t>
  </si>
  <si>
    <t>R1, col 1</t>
  </si>
  <si>
    <t>TTS (+Tris 10nM)</t>
  </si>
  <si>
    <t>R1, col 3</t>
  </si>
  <si>
    <t>PK</t>
  </si>
  <si>
    <t>H2O #2</t>
  </si>
  <si>
    <t>R1, col 2</t>
  </si>
  <si>
    <t>TH1X</t>
  </si>
  <si>
    <t>R1, col 4</t>
  </si>
  <si>
    <t>AE</t>
  </si>
  <si>
    <t>TTST: 02/04/20 AE</t>
  </si>
  <si>
    <t>PK: 10058455</t>
  </si>
  <si>
    <t>TH1 1X: 30/04/20 LP</t>
  </si>
  <si>
    <t>Cleavage/Desalting</t>
  </si>
  <si>
    <t>Step</t>
  </si>
  <si>
    <t>Details</t>
  </si>
  <si>
    <t>Invitek plate washing</t>
  </si>
  <si>
    <t>800 µL BM H2O</t>
  </si>
  <si>
    <t>Prgrm : AV_INVITEK_WASH version 20200121</t>
  </si>
  <si>
    <t>Resin transfer</t>
  </si>
  <si>
    <t>50 µL TH1 1X in each well
Then 25µL of TH1 1X mix and transfer again (manual)</t>
  </si>
  <si>
    <t>Prgrm : AV_PSP_1 version 20200320</t>
  </si>
  <si>
    <t>Oligo liberation</t>
  </si>
  <si>
    <t>50µL mix EndoV</t>
  </si>
  <si>
    <t>Done following WI 0015</t>
  </si>
  <si>
    <t>Desalting</t>
  </si>
  <si>
    <t>375µL Isopropanol</t>
  </si>
  <si>
    <t>Picus</t>
  </si>
  <si>
    <t>TH1 1X : 30 04 AE</t>
  </si>
  <si>
    <t>600µL x 2 ethanol 80%</t>
  </si>
  <si>
    <t>Prgrm : AV_PSP_2 version 20200320</t>
  </si>
  <si>
    <t>Elution</t>
  </si>
  <si>
    <t>2 x 50µL BM H2O</t>
  </si>
  <si>
    <t>Nb de réactions</t>
  </si>
  <si>
    <t>100U</t>
  </si>
  <si>
    <t>Besoin mix EndoV</t>
  </si>
  <si>
    <t>EndoV</t>
  </si>
  <si>
    <t>Endo V Nzytech w/o BSA batch 19061</t>
  </si>
  <si>
    <t>TH1 buffer 10X</t>
  </si>
  <si>
    <t>TH1 buffer 10X 1803 AE</t>
  </si>
  <si>
    <t>MB grade H2O</t>
  </si>
  <si>
    <t>Prepare the plate for UV quantification and OP2 analysis.</t>
  </si>
  <si>
    <t>observations</t>
  </si>
  <si>
    <t>after elution observed bubbles in the following wells</t>
  </si>
  <si>
    <t>then shaking 30s on thermomixer at 1350 rpm</t>
  </si>
  <si>
    <t>some droplets still present on all wells with varying length</t>
  </si>
  <si>
    <t>A6,B11,B12,C8,D11,F2,F9,G8</t>
  </si>
  <si>
    <t>76µl</t>
  </si>
  <si>
    <t>EtOH 80% : 30/04/2020 AE(with Absolute EtOH)</t>
  </si>
  <si>
    <t>3.08.01</t>
  </si>
  <si>
    <t>before popping bubbles</t>
  </si>
  <si>
    <t>C:\Users\Public\Documents\Protocols\96wellsNormal-absorbance 230-260-280-900-977.prt</t>
  </si>
  <si>
    <t>Plate 3</t>
  </si>
  <si>
    <t>96 WELL PLATE (Use plate lid)</t>
  </si>
  <si>
    <t>96 well plate- 5 points</t>
  </si>
  <si>
    <t>Wavelengths:  230, 260, 280, 900, 977</t>
  </si>
  <si>
    <t>Read Speed: Sweep,  Delay: 0 msec,  Measurements/Data Point: 1</t>
  </si>
  <si>
    <t>96 well plate- 5 points:230</t>
  </si>
  <si>
    <t>96 well plate- 5 points:260</t>
  </si>
  <si>
    <t>96 well plate- 5 points:280</t>
  </si>
  <si>
    <t>96 well plate- 5 points:900</t>
  </si>
  <si>
    <t>96 well plate- 5 points:977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</si>
</sst>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70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9"/>
      <color rgb="FF00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sz val="9"/>
      <color rgb="FF27413E"/>
      <name val="Calibri"/>
      <family val="2"/>
      <scheme val="minor"/>
    </font>
    <font>
      <sz val="7"/>
      <color theme="1"/>
      <name val="Calibri"/>
      <family val="2"/>
      <scheme val="minor"/>
    </font>
    <font>
      <sz val="9"/>
      <color rgb="FF99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sz val="11"/>
      <color theme="1"/>
      <name val="Arial"/>
      <family val="2"/>
    </font>
    <font>
      <b/>
      <u/>
      <sz val="11"/>
      <color rgb="FF000000"/>
      <name val="Arial"/>
      <family val="2"/>
    </font>
    <font>
      <sz val="11"/>
      <color rgb="FF27413E"/>
      <name val="Arial"/>
      <family val="2"/>
    </font>
    <font>
      <sz val="7"/>
      <color rgb="FF000000"/>
      <name val="Arial"/>
      <family val="2"/>
    </font>
    <font>
      <sz val="11"/>
      <color theme="1"/>
      <name val="Times New Roman"/>
      <family val="1"/>
    </font>
    <font>
      <sz val="11"/>
      <color theme="7" tint="0.39997558519241921"/>
      <name val="Times New Roman"/>
      <family val="1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b/>
      <sz val="11"/>
      <color rgb="FF0000FF"/>
      <name val="Calibri"/>
      <family val="2"/>
    </font>
    <font>
      <sz val="11"/>
      <color rgb="FF0000FF"/>
      <name val="Calibri"/>
      <family val="2"/>
    </font>
    <font>
      <b/>
      <sz val="11"/>
      <color rgb="FF980000"/>
      <name val="Calibri"/>
      <family val="2"/>
    </font>
    <font>
      <sz val="11"/>
      <color rgb="FF980000"/>
      <name val="Calibri"/>
      <family val="2"/>
    </font>
    <font>
      <b/>
      <i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0"/>
      <color rgb="FFA9B7C6"/>
      <name val="Consolas"/>
      <family val="3"/>
    </font>
    <font>
      <b/>
      <sz val="11"/>
      <color theme="2" tint="-0.499984740745262"/>
      <name val="Calibri"/>
      <family val="2"/>
    </font>
    <font>
      <b/>
      <sz val="10"/>
      <color theme="2" tint="-0.499984740745262"/>
      <name val="Consolas"/>
      <family val="3"/>
    </font>
    <font>
      <sz val="11"/>
      <color rgb="FF000000"/>
      <name val="Calibri"/>
      <family val="2"/>
      <charset val="1"/>
    </font>
    <font>
      <b/>
      <sz val="12"/>
      <color theme="0" tint="-0.49998474074526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4472C4"/>
      <name val="Calibri"/>
      <family val="2"/>
      <scheme val="minor"/>
    </font>
    <font>
      <i/>
      <sz val="9"/>
      <color rgb="FF980000"/>
      <name val="Calibri"/>
      <family val="2"/>
      <scheme val="minor"/>
    </font>
    <font>
      <i/>
      <sz val="11"/>
      <color rgb="FF980000"/>
      <name val="Calibri"/>
      <family val="2"/>
      <scheme val="minor"/>
    </font>
    <font>
      <b/>
      <sz val="14"/>
      <color rgb="FF9900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666666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98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00"/>
      <name val="Roboto"/>
    </font>
    <font>
      <i/>
      <sz val="11"/>
      <color rgb="FFB7B7B7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rgb="FFFF0000"/>
      <name val="Arial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27413E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6FA9D6"/>
        <bgColor indexed="64"/>
      </patternFill>
    </fill>
    <fill>
      <patternFill patternType="solid">
        <fgColor rgb="FF7EB2DB"/>
        <bgColor indexed="64"/>
      </patternFill>
    </fill>
    <fill>
      <patternFill patternType="solid">
        <fgColor rgb="FF5197CC"/>
        <bgColor indexed="64"/>
      </patternFill>
    </fill>
    <fill>
      <patternFill patternType="solid">
        <fgColor rgb="FF8DBCE0"/>
        <bgColor indexed="64"/>
      </patternFill>
    </fill>
    <fill>
      <patternFill patternType="solid">
        <fgColor rgb="FF9CC5E5"/>
        <bgColor indexed="64"/>
      </patternFill>
    </fill>
    <fill>
      <patternFill patternType="solid">
        <fgColor rgb="FF60A0D1"/>
        <bgColor indexed="64"/>
      </patternFill>
    </fill>
    <fill>
      <patternFill patternType="solid">
        <fgColor rgb="FFE8F3FF"/>
        <bgColor indexed="64"/>
      </patternFill>
    </fill>
    <fill>
      <patternFill patternType="solid">
        <fgColor rgb="FF3385C2"/>
        <bgColor indexed="64"/>
      </patternFill>
    </fill>
    <fill>
      <patternFill patternType="solid">
        <fgColor rgb="FFABCEEA"/>
        <bgColor indexed="64"/>
      </patternFill>
    </fill>
    <fill>
      <patternFill patternType="solid">
        <fgColor rgb="FFC9E0F4"/>
        <bgColor indexed="64"/>
      </patternFill>
    </fill>
    <fill>
      <patternFill patternType="solid">
        <fgColor rgb="FF428EC7"/>
        <bgColor indexed="64"/>
      </patternFill>
    </fill>
    <fill>
      <patternFill patternType="solid">
        <fgColor rgb="FF247CBD"/>
        <bgColor indexed="64"/>
      </patternFill>
    </fill>
    <fill>
      <patternFill patternType="solid">
        <fgColor rgb="FFBAD7EF"/>
        <bgColor indexed="64"/>
      </patternFill>
    </fill>
    <fill>
      <patternFill patternType="solid">
        <fgColor rgb="FFD8E9F9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FFFFF"/>
        <bgColor rgb="FFFFFFFF"/>
      </patternFill>
    </fill>
    <fill>
      <patternFill patternType="solid">
        <fgColor rgb="FF00B0F0"/>
        <bgColor rgb="FF00B0F0"/>
      </patternFill>
    </fill>
    <fill>
      <patternFill patternType="solid">
        <fgColor rgb="FFC65911"/>
        <bgColor rgb="FFC65911"/>
      </patternFill>
    </fill>
    <fill>
      <patternFill patternType="solid">
        <fgColor rgb="FF92D050"/>
        <bgColor rgb="FF92D050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0E0E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7F7F7F"/>
      </right>
      <top style="medium">
        <color rgb="FFCCCCCC"/>
      </top>
      <bottom style="medium">
        <color rgb="FF7F7F7F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rgb="FF7F7F7F"/>
      </left>
      <right style="medium">
        <color rgb="FF7F7F7F"/>
      </right>
      <top style="medium">
        <color indexed="64"/>
      </top>
      <bottom style="medium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medium">
        <color rgb="FF7F7F7F"/>
      </left>
      <right style="medium">
        <color rgb="FF7F7F7F"/>
      </right>
      <top style="medium">
        <color rgb="FFCCCCCC"/>
      </top>
      <bottom style="medium">
        <color indexed="64"/>
      </bottom>
      <diagonal/>
    </border>
    <border>
      <left style="medium">
        <color rgb="FF7F7F7F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5" fillId="4" borderId="0"/>
    <xf numFmtId="0" fontId="6" fillId="5" borderId="0"/>
    <xf numFmtId="0" fontId="7" fillId="6" borderId="18"/>
    <xf numFmtId="0" fontId="10" fillId="7" borderId="0"/>
    <xf numFmtId="0" fontId="12" fillId="0" borderId="0"/>
    <xf numFmtId="0" fontId="13" fillId="0" borderId="0"/>
    <xf numFmtId="0" fontId="46" fillId="0" borderId="0"/>
  </cellStyleXfs>
  <cellXfs count="318">
    <xf numFmtId="0" fontId="0" fillId="0" borderId="0" xfId="0"/>
    <xf numFmtId="0" fontId="1" fillId="0" borderId="0" xfId="0" applyFont="1" applyAlignment="1">
      <alignment horizontal="center" vertical="center"/>
    </xf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3" borderId="0" xfId="0" applyFill="1"/>
    <xf numFmtId="0" fontId="0" fillId="0" borderId="7" xfId="0" applyBorder="1" applyAlignment="1">
      <alignment horizontal="left" vertical="center"/>
    </xf>
    <xf numFmtId="0" fontId="6" fillId="5" borderId="7" xfId="2" applyBorder="1" applyAlignment="1">
      <alignment wrapText="1"/>
    </xf>
    <xf numFmtId="0" fontId="0" fillId="0" borderId="0" xfId="0" applyAlignment="1">
      <alignment wrapText="1"/>
    </xf>
    <xf numFmtId="0" fontId="6" fillId="5" borderId="9" xfId="2" applyBorder="1" applyAlignment="1">
      <alignment wrapText="1"/>
    </xf>
    <xf numFmtId="0" fontId="6" fillId="5" borderId="10" xfId="2" applyBorder="1" applyAlignment="1">
      <alignment wrapText="1"/>
    </xf>
    <xf numFmtId="0" fontId="2" fillId="0" borderId="11" xfId="0" applyFont="1" applyBorder="1" applyAlignment="1">
      <alignment wrapText="1"/>
    </xf>
    <xf numFmtId="0" fontId="2" fillId="0" borderId="11" xfId="0" applyFont="1" applyBorder="1" applyAlignment="1">
      <alignment horizontal="right" wrapText="1"/>
    </xf>
    <xf numFmtId="0" fontId="2" fillId="0" borderId="19" xfId="0" applyFont="1" applyBorder="1" applyAlignment="1">
      <alignment horizontal="right" wrapText="1"/>
    </xf>
    <xf numFmtId="0" fontId="2" fillId="0" borderId="17" xfId="0" applyFont="1" applyBorder="1" applyAlignment="1">
      <alignment wrapText="1"/>
    </xf>
    <xf numFmtId="0" fontId="2" fillId="0" borderId="0" xfId="0" applyFont="1" applyAlignment="1">
      <alignment wrapText="1"/>
    </xf>
    <xf numFmtId="0" fontId="0" fillId="0" borderId="17" xfId="0" applyBorder="1" applyAlignment="1">
      <alignment wrapText="1"/>
    </xf>
    <xf numFmtId="1" fontId="0" fillId="0" borderId="17" xfId="0" applyNumberFormat="1" applyBorder="1" applyAlignment="1">
      <alignment wrapText="1"/>
    </xf>
    <xf numFmtId="0" fontId="8" fillId="0" borderId="0" xfId="0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13" xfId="0" applyFont="1" applyFill="1" applyBorder="1"/>
    <xf numFmtId="0" fontId="0" fillId="3" borderId="12" xfId="0" applyFill="1" applyBorder="1"/>
    <xf numFmtId="0" fontId="0" fillId="0" borderId="8" xfId="0" applyBorder="1"/>
    <xf numFmtId="0" fontId="9" fillId="0" borderId="7" xfId="0" applyFont="1" applyBorder="1"/>
    <xf numFmtId="0" fontId="0" fillId="0" borderId="0" xfId="0" applyAlignment="1">
      <alignment horizontal="right" wrapText="1"/>
    </xf>
    <xf numFmtId="0" fontId="10" fillId="7" borderId="7" xfId="4" applyBorder="1" applyAlignment="1">
      <alignment horizontal="right" wrapText="1"/>
    </xf>
    <xf numFmtId="0" fontId="7" fillId="9" borderId="22" xfId="0" applyFont="1" applyFill="1" applyBorder="1" applyAlignment="1">
      <alignment horizontal="right" wrapText="1"/>
    </xf>
    <xf numFmtId="0" fontId="11" fillId="10" borderId="21" xfId="0" applyFont="1" applyFill="1" applyBorder="1" applyAlignment="1">
      <alignment horizontal="right" wrapText="1"/>
    </xf>
    <xf numFmtId="0" fontId="2" fillId="2" borderId="14" xfId="0" applyFont="1" applyFill="1" applyBorder="1"/>
    <xf numFmtId="0" fontId="2" fillId="2" borderId="16" xfId="0" applyFont="1" applyFill="1" applyBorder="1"/>
    <xf numFmtId="0" fontId="2" fillId="2" borderId="15" xfId="0" applyFont="1" applyFill="1" applyBorder="1"/>
    <xf numFmtId="0" fontId="0" fillId="3" borderId="23" xfId="0" applyFill="1" applyBorder="1"/>
    <xf numFmtId="0" fontId="5" fillId="4" borderId="12" xfId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25" xfId="0" applyBorder="1"/>
    <xf numFmtId="1" fontId="0" fillId="0" borderId="0" xfId="0" applyNumberFormat="1"/>
    <xf numFmtId="14" fontId="0" fillId="0" borderId="0" xfId="0" applyNumberFormat="1"/>
    <xf numFmtId="0" fontId="14" fillId="0" borderId="0" xfId="0" applyFont="1" applyAlignment="1">
      <alignment wrapText="1"/>
    </xf>
    <xf numFmtId="0" fontId="4" fillId="10" borderId="20" xfId="0" applyFont="1" applyFill="1" applyBorder="1" applyAlignment="1">
      <alignment horizontal="right" wrapText="1"/>
    </xf>
    <xf numFmtId="1" fontId="0" fillId="0" borderId="0" xfId="0" applyNumberFormat="1" applyAlignment="1">
      <alignment wrapText="1"/>
    </xf>
    <xf numFmtId="1" fontId="0" fillId="0" borderId="11" xfId="0" applyNumberFormat="1" applyBorder="1"/>
    <xf numFmtId="0" fontId="6" fillId="5" borderId="7" xfId="2" applyBorder="1"/>
    <xf numFmtId="0" fontId="0" fillId="0" borderId="7" xfId="0" applyBorder="1" applyAlignment="1">
      <alignment horizontal="left"/>
    </xf>
    <xf numFmtId="2" fontId="0" fillId="0" borderId="6" xfId="0" applyNumberFormat="1" applyBorder="1"/>
    <xf numFmtId="2" fontId="0" fillId="0" borderId="26" xfId="0" applyNumberFormat="1" applyBorder="1"/>
    <xf numFmtId="0" fontId="2" fillId="0" borderId="0" xfId="0" applyFont="1"/>
    <xf numFmtId="0" fontId="2" fillId="0" borderId="11" xfId="0" applyFont="1" applyBorder="1"/>
    <xf numFmtId="1" fontId="0" fillId="0" borderId="27" xfId="0" applyNumberFormat="1" applyBorder="1" applyAlignment="1">
      <alignment wrapText="1"/>
    </xf>
    <xf numFmtId="1" fontId="4" fillId="0" borderId="0" xfId="0" applyNumberFormat="1" applyFont="1" applyAlignment="1">
      <alignment wrapText="1"/>
    </xf>
    <xf numFmtId="0" fontId="15" fillId="0" borderId="11" xfId="0" applyFont="1" applyBorder="1" applyAlignment="1">
      <alignment wrapText="1"/>
    </xf>
    <xf numFmtId="0" fontId="4" fillId="0" borderId="0" xfId="0" applyFont="1"/>
    <xf numFmtId="1" fontId="0" fillId="0" borderId="11" xfId="0" applyNumberFormat="1" applyBorder="1" applyAlignment="1">
      <alignment wrapText="1"/>
    </xf>
    <xf numFmtId="0" fontId="10" fillId="7" borderId="13" xfId="4" applyBorder="1" applyAlignment="1">
      <alignment horizontal="right" wrapText="1"/>
    </xf>
    <xf numFmtId="0" fontId="11" fillId="10" borderId="28" xfId="0" applyFont="1" applyFill="1" applyBorder="1" applyAlignment="1">
      <alignment horizontal="right" wrapText="1"/>
    </xf>
    <xf numFmtId="0" fontId="11" fillId="10" borderId="29" xfId="0" applyFont="1" applyFill="1" applyBorder="1" applyAlignment="1">
      <alignment horizontal="right" wrapText="1"/>
    </xf>
    <xf numFmtId="0" fontId="0" fillId="11" borderId="30" xfId="4" applyFont="1" applyFill="1" applyBorder="1" applyAlignment="1">
      <alignment horizontal="right" wrapText="1"/>
    </xf>
    <xf numFmtId="0" fontId="11" fillId="11" borderId="31" xfId="0" applyFont="1" applyFill="1" applyBorder="1" applyAlignment="1">
      <alignment horizontal="right" wrapText="1"/>
    </xf>
    <xf numFmtId="0" fontId="11" fillId="10" borderId="32" xfId="0" applyFont="1" applyFill="1" applyBorder="1" applyAlignment="1">
      <alignment horizontal="right" wrapText="1"/>
    </xf>
    <xf numFmtId="0" fontId="6" fillId="5" borderId="13" xfId="2" applyBorder="1" applyAlignment="1">
      <alignment horizontal="right" wrapText="1"/>
    </xf>
    <xf numFmtId="0" fontId="6" fillId="8" borderId="33" xfId="0" applyFont="1" applyFill="1" applyBorder="1" applyAlignment="1">
      <alignment horizontal="right" wrapText="1"/>
    </xf>
    <xf numFmtId="0" fontId="6" fillId="8" borderId="34" xfId="0" applyFont="1" applyFill="1" applyBorder="1" applyAlignment="1">
      <alignment horizontal="right" wrapText="1"/>
    </xf>
    <xf numFmtId="0" fontId="0" fillId="8" borderId="34" xfId="0" applyFill="1" applyBorder="1" applyAlignment="1">
      <alignment wrapText="1"/>
    </xf>
    <xf numFmtId="0" fontId="10" fillId="7" borderId="36" xfId="4" applyBorder="1" applyAlignment="1">
      <alignment horizontal="right" wrapText="1"/>
    </xf>
    <xf numFmtId="0" fontId="11" fillId="10" borderId="37" xfId="0" applyFont="1" applyFill="1" applyBorder="1" applyAlignment="1">
      <alignment horizontal="right" wrapText="1"/>
    </xf>
    <xf numFmtId="0" fontId="4" fillId="10" borderId="38" xfId="0" applyFont="1" applyFill="1" applyBorder="1" applyAlignment="1">
      <alignment horizontal="right" wrapText="1"/>
    </xf>
    <xf numFmtId="0" fontId="11" fillId="10" borderId="35" xfId="0" applyFont="1" applyFill="1" applyBorder="1" applyAlignment="1">
      <alignment horizontal="right" wrapText="1"/>
    </xf>
    <xf numFmtId="0" fontId="7" fillId="6" borderId="39" xfId="3" applyBorder="1" applyAlignment="1">
      <alignment horizontal="right" wrapText="1"/>
    </xf>
    <xf numFmtId="0" fontId="7" fillId="9" borderId="40" xfId="0" applyFont="1" applyFill="1" applyBorder="1" applyAlignment="1">
      <alignment horizontal="right" wrapText="1"/>
    </xf>
    <xf numFmtId="0" fontId="7" fillId="6" borderId="41" xfId="3" applyBorder="1" applyAlignment="1">
      <alignment horizontal="right" wrapText="1"/>
    </xf>
    <xf numFmtId="0" fontId="7" fillId="6" borderId="42" xfId="3" applyBorder="1" applyAlignment="1">
      <alignment horizontal="right" wrapText="1"/>
    </xf>
    <xf numFmtId="0" fontId="7" fillId="9" borderId="43" xfId="0" applyFont="1" applyFill="1" applyBorder="1" applyAlignment="1">
      <alignment horizontal="right" wrapText="1"/>
    </xf>
    <xf numFmtId="0" fontId="7" fillId="9" borderId="44" xfId="0" applyFont="1" applyFill="1" applyBorder="1" applyAlignment="1">
      <alignment horizontal="right" wrapText="1"/>
    </xf>
    <xf numFmtId="0" fontId="0" fillId="0" borderId="45" xfId="0" applyBorder="1"/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17" fillId="0" borderId="0" xfId="0" applyFont="1"/>
    <xf numFmtId="0" fontId="19" fillId="0" borderId="0" xfId="0" applyFont="1" applyAlignment="1">
      <alignment horizontal="center"/>
    </xf>
    <xf numFmtId="0" fontId="19" fillId="13" borderId="0" xfId="0" applyFont="1" applyFill="1" applyAlignment="1">
      <alignment horizontal="center"/>
    </xf>
    <xf numFmtId="0" fontId="20" fillId="0" borderId="7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21" fillId="14" borderId="7" xfId="0" applyFont="1" applyFill="1" applyBorder="1" applyAlignment="1">
      <alignment horizontal="center"/>
    </xf>
    <xf numFmtId="0" fontId="19" fillId="0" borderId="7" xfId="0" applyFont="1" applyBorder="1" applyAlignment="1">
      <alignment horizontal="right"/>
    </xf>
    <xf numFmtId="0" fontId="19" fillId="0" borderId="7" xfId="0" applyFont="1" applyBorder="1" applyAlignment="1">
      <alignment horizontal="center"/>
    </xf>
    <xf numFmtId="0" fontId="22" fillId="13" borderId="7" xfId="0" applyFont="1" applyFill="1" applyBorder="1" applyAlignment="1">
      <alignment horizontal="center" vertical="center"/>
    </xf>
    <xf numFmtId="0" fontId="23" fillId="0" borderId="0" xfId="0" applyFont="1" applyAlignment="1">
      <alignment horizontal="right"/>
    </xf>
    <xf numFmtId="0" fontId="24" fillId="0" borderId="0" xfId="0" applyFont="1" applyAlignment="1">
      <alignment vertical="center"/>
    </xf>
    <xf numFmtId="0" fontId="24" fillId="0" borderId="0" xfId="0" applyFont="1"/>
    <xf numFmtId="2" fontId="19" fillId="0" borderId="7" xfId="0" applyNumberFormat="1" applyFont="1" applyBorder="1" applyAlignment="1">
      <alignment horizontal="center"/>
    </xf>
    <xf numFmtId="0" fontId="19" fillId="14" borderId="7" xfId="0" applyFont="1" applyFill="1" applyBorder="1" applyAlignment="1">
      <alignment horizontal="center"/>
    </xf>
    <xf numFmtId="0" fontId="19" fillId="13" borderId="7" xfId="0" applyFont="1" applyFill="1" applyBorder="1" applyAlignment="1">
      <alignment horizontal="center"/>
    </xf>
    <xf numFmtId="0" fontId="26" fillId="0" borderId="0" xfId="0" applyFont="1" applyAlignment="1">
      <alignment horizontal="center"/>
    </xf>
    <xf numFmtId="164" fontId="19" fillId="0" borderId="7" xfId="0" applyNumberFormat="1" applyFont="1" applyBorder="1" applyAlignment="1">
      <alignment horizontal="center"/>
    </xf>
    <xf numFmtId="164" fontId="26" fillId="0" borderId="0" xfId="0" applyNumberFormat="1" applyFont="1" applyAlignment="1">
      <alignment horizontal="center"/>
    </xf>
    <xf numFmtId="0" fontId="19" fillId="0" borderId="0" xfId="0" applyFont="1"/>
    <xf numFmtId="0" fontId="19" fillId="0" borderId="7" xfId="0" applyFont="1" applyBorder="1"/>
    <xf numFmtId="2" fontId="19" fillId="0" borderId="7" xfId="0" applyNumberFormat="1" applyFont="1" applyBorder="1" applyAlignment="1">
      <alignment horizontal="right"/>
    </xf>
    <xf numFmtId="165" fontId="19" fillId="0" borderId="7" xfId="0" applyNumberFormat="1" applyFont="1" applyBorder="1" applyAlignment="1">
      <alignment horizontal="right"/>
    </xf>
    <xf numFmtId="164" fontId="19" fillId="0" borderId="7" xfId="0" applyNumberFormat="1" applyFont="1" applyBorder="1" applyAlignment="1">
      <alignment horizontal="right"/>
    </xf>
    <xf numFmtId="14" fontId="27" fillId="0" borderId="0" xfId="0" applyNumberFormat="1" applyFont="1" applyAlignment="1">
      <alignment horizontal="right"/>
    </xf>
    <xf numFmtId="21" fontId="27" fillId="0" borderId="0" xfId="0" applyNumberFormat="1" applyFont="1" applyAlignment="1">
      <alignment horizontal="right"/>
    </xf>
    <xf numFmtId="0" fontId="27" fillId="0" borderId="0" xfId="0" applyFont="1" applyAlignment="1">
      <alignment horizontal="right"/>
    </xf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horizontal="right"/>
    </xf>
    <xf numFmtId="0" fontId="0" fillId="15" borderId="0" xfId="0" applyFill="1"/>
    <xf numFmtId="0" fontId="29" fillId="15" borderId="0" xfId="0" applyFont="1" applyFill="1" applyAlignment="1">
      <alignment horizontal="center"/>
    </xf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30" fillId="0" borderId="0" xfId="0" applyFont="1" applyAlignment="1">
      <alignment horizontal="right"/>
    </xf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32" fillId="11" borderId="7" xfId="0" applyFont="1" applyFill="1" applyBorder="1" applyAlignment="1">
      <alignment vertical="center"/>
    </xf>
    <xf numFmtId="0" fontId="31" fillId="11" borderId="7" xfId="0" applyFont="1" applyFill="1" applyBorder="1" applyAlignment="1">
      <alignment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33" fillId="0" borderId="0" xfId="0" applyFont="1"/>
    <xf numFmtId="0" fontId="0" fillId="30" borderId="0" xfId="0" applyFill="1" applyAlignment="1">
      <alignment horizontal="center"/>
    </xf>
    <xf numFmtId="0" fontId="33" fillId="31" borderId="0" xfId="0" applyFont="1" applyFill="1"/>
    <xf numFmtId="0" fontId="33" fillId="31" borderId="0" xfId="0" applyFont="1" applyFill="1" applyAlignment="1">
      <alignment horizontal="left"/>
    </xf>
    <xf numFmtId="0" fontId="35" fillId="0" borderId="0" xfId="0" applyFont="1"/>
    <xf numFmtId="0" fontId="36" fillId="0" borderId="0" xfId="0" applyFont="1"/>
    <xf numFmtId="0" fontId="36" fillId="0" borderId="0" xfId="0" applyFont="1" applyAlignment="1">
      <alignment horizontal="center"/>
    </xf>
    <xf numFmtId="0" fontId="37" fillId="0" borderId="0" xfId="0" applyFont="1"/>
    <xf numFmtId="0" fontId="39" fillId="0" borderId="0" xfId="0" applyFont="1"/>
    <xf numFmtId="14" fontId="0" fillId="0" borderId="0" xfId="0" applyNumberFormat="1" applyAlignment="1">
      <alignment horizontal="center" vertical="center" wrapText="1"/>
    </xf>
    <xf numFmtId="0" fontId="0" fillId="0" borderId="12" xfId="0" applyBorder="1"/>
    <xf numFmtId="0" fontId="2" fillId="0" borderId="7" xfId="0" applyFont="1" applyBorder="1"/>
    <xf numFmtId="0" fontId="0" fillId="11" borderId="46" xfId="0" applyFill="1" applyBorder="1"/>
    <xf numFmtId="0" fontId="0" fillId="0" borderId="46" xfId="0" applyBorder="1"/>
    <xf numFmtId="0" fontId="34" fillId="0" borderId="0" xfId="0" applyFont="1" applyAlignment="1">
      <alignment horizontal="center" vertical="center" wrapText="1"/>
    </xf>
    <xf numFmtId="14" fontId="3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2" fontId="38" fillId="0" borderId="0" xfId="0" applyNumberFormat="1" applyFont="1" applyAlignment="1">
      <alignment horizontal="center"/>
    </xf>
    <xf numFmtId="164" fontId="38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4" fontId="40" fillId="0" borderId="0" xfId="0" applyNumberFormat="1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" fontId="42" fillId="0" borderId="0" xfId="0" applyNumberFormat="1" applyFont="1" applyAlignment="1">
      <alignment horizontal="center" vertical="center" wrapText="1"/>
    </xf>
    <xf numFmtId="2" fontId="40" fillId="0" borderId="0" xfId="0" applyNumberFormat="1" applyFont="1" applyAlignment="1">
      <alignment horizontal="center"/>
    </xf>
    <xf numFmtId="0" fontId="0" fillId="0" borderId="23" xfId="0" applyBorder="1"/>
    <xf numFmtId="0" fontId="0" fillId="0" borderId="7" xfId="0" applyBorder="1"/>
    <xf numFmtId="0" fontId="2" fillId="0" borderId="9" xfId="0" applyFont="1" applyBorder="1" applyAlignment="1">
      <alignment horizontal="left" vertical="center" wrapText="1"/>
    </xf>
    <xf numFmtId="0" fontId="43" fillId="0" borderId="0" xfId="0" applyFont="1" applyAlignment="1">
      <alignment vertical="center"/>
    </xf>
    <xf numFmtId="0" fontId="44" fillId="0" borderId="0" xfId="0" applyFont="1"/>
    <xf numFmtId="0" fontId="45" fillId="0" borderId="0" xfId="0" applyFont="1" applyAlignment="1">
      <alignment vertical="center"/>
    </xf>
    <xf numFmtId="0" fontId="0" fillId="0" borderId="26" xfId="0" applyBorder="1"/>
    <xf numFmtId="14" fontId="0" fillId="0" borderId="25" xfId="0" applyNumberFormat="1" applyBorder="1"/>
    <xf numFmtId="14" fontId="0" fillId="0" borderId="4" xfId="0" applyNumberFormat="1" applyBorder="1"/>
    <xf numFmtId="49" fontId="47" fillId="0" borderId="1" xfId="0" applyNumberFormat="1" applyFont="1" applyBorder="1" applyAlignment="1">
      <alignment horizontal="center"/>
    </xf>
    <xf numFmtId="0" fontId="48" fillId="0" borderId="2" xfId="0" applyFont="1" applyBorder="1" applyAlignment="1">
      <alignment horizontal="center"/>
    </xf>
    <xf numFmtId="0" fontId="48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49" fillId="0" borderId="3" xfId="0" applyFont="1" applyBorder="1" applyAlignment="1">
      <alignment horizontal="center"/>
    </xf>
    <xf numFmtId="0" fontId="0" fillId="12" borderId="0" xfId="0" applyFill="1"/>
    <xf numFmtId="0" fontId="2" fillId="12" borderId="0" xfId="0" applyFont="1" applyFill="1" applyAlignment="1">
      <alignment wrapText="1"/>
    </xf>
    <xf numFmtId="0" fontId="0" fillId="12" borderId="0" xfId="0" applyFill="1" applyAlignment="1">
      <alignment wrapText="1"/>
    </xf>
    <xf numFmtId="0" fontId="50" fillId="0" borderId="0" xfId="0" applyFont="1"/>
    <xf numFmtId="0" fontId="2" fillId="0" borderId="1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0" fillId="0" borderId="0" xfId="0" applyAlignment="1">
      <alignment horizontal="right"/>
    </xf>
    <xf numFmtId="49" fontId="51" fillId="0" borderId="52" xfId="0" applyNumberFormat="1" applyFont="1" applyBorder="1" applyAlignment="1">
      <alignment horizontal="center" wrapText="1"/>
    </xf>
    <xf numFmtId="0" fontId="14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2" fillId="0" borderId="54" xfId="0" applyFont="1" applyBorder="1" applyAlignment="1">
      <alignment horizontal="center" wrapText="1"/>
    </xf>
    <xf numFmtId="0" fontId="33" fillId="0" borderId="52" xfId="0" applyFont="1" applyBorder="1" applyAlignment="1">
      <alignment horizontal="center" vertical="top"/>
    </xf>
    <xf numFmtId="0" fontId="33" fillId="0" borderId="7" xfId="0" applyFont="1" applyBorder="1" applyAlignment="1">
      <alignment horizontal="center" vertical="center" textRotation="90"/>
    </xf>
    <xf numFmtId="0" fontId="33" fillId="0" borderId="54" xfId="0" applyFont="1" applyBorder="1" applyAlignment="1">
      <alignment horizontal="center" vertical="center" textRotation="90"/>
    </xf>
    <xf numFmtId="0" fontId="14" fillId="0" borderId="52" xfId="0" applyFont="1" applyBorder="1" applyAlignment="1">
      <alignment horizontal="center" wrapText="1"/>
    </xf>
    <xf numFmtId="0" fontId="14" fillId="0" borderId="53" xfId="0" applyFont="1" applyBorder="1" applyAlignment="1">
      <alignment horizontal="center" wrapText="1"/>
    </xf>
    <xf numFmtId="0" fontId="0" fillId="35" borderId="55" xfId="0" applyFill="1" applyBorder="1"/>
    <xf numFmtId="0" fontId="0" fillId="35" borderId="23" xfId="0" applyFill="1" applyBorder="1"/>
    <xf numFmtId="0" fontId="0" fillId="35" borderId="56" xfId="0" applyFill="1" applyBorder="1"/>
    <xf numFmtId="0" fontId="0" fillId="35" borderId="52" xfId="0" applyFill="1" applyBorder="1"/>
    <xf numFmtId="0" fontId="0" fillId="35" borderId="7" xfId="0" applyFill="1" applyBorder="1"/>
    <xf numFmtId="0" fontId="0" fillId="35" borderId="54" xfId="0" applyFill="1" applyBorder="1"/>
    <xf numFmtId="0" fontId="0" fillId="35" borderId="57" xfId="0" applyFill="1" applyBorder="1"/>
    <xf numFmtId="0" fontId="0" fillId="35" borderId="13" xfId="0" applyFill="1" applyBorder="1"/>
    <xf numFmtId="0" fontId="0" fillId="35" borderId="58" xfId="0" applyFill="1" applyBorder="1"/>
    <xf numFmtId="0" fontId="0" fillId="0" borderId="10" xfId="0" applyBorder="1"/>
    <xf numFmtId="0" fontId="0" fillId="0" borderId="0" xfId="0"/>
    <xf numFmtId="0" fontId="27" fillId="0" borderId="0" xfId="0" applyFont="1"/>
    <xf numFmtId="0" fontId="0" fillId="0" borderId="0" xfId="0" applyFill="1" applyAlignment="1">
      <alignment horizontal="center"/>
    </xf>
    <xf numFmtId="9" fontId="0" fillId="0" borderId="0" xfId="0" applyNumberFormat="1" applyFill="1" applyAlignment="1">
      <alignment horizontal="center"/>
    </xf>
    <xf numFmtId="0" fontId="0" fillId="0" borderId="0" xfId="0"/>
    <xf numFmtId="0" fontId="0" fillId="0" borderId="63" xfId="0" applyBorder="1" applyAlignment="1">
      <alignment wrapText="1"/>
    </xf>
    <xf numFmtId="0" fontId="2" fillId="0" borderId="63" xfId="0" applyFont="1" applyBorder="1" applyAlignment="1">
      <alignment horizontal="center" wrapText="1"/>
    </xf>
    <xf numFmtId="0" fontId="0" fillId="0" borderId="64" xfId="0" applyBorder="1" applyAlignment="1">
      <alignment wrapText="1"/>
    </xf>
    <xf numFmtId="0" fontId="53" fillId="0" borderId="64" xfId="0" applyFont="1" applyBorder="1" applyAlignment="1">
      <alignment wrapText="1"/>
    </xf>
    <xf numFmtId="0" fontId="2" fillId="37" borderId="20" xfId="0" applyFont="1" applyFill="1" applyBorder="1" applyAlignment="1">
      <alignment wrapText="1"/>
    </xf>
    <xf numFmtId="0" fontId="2" fillId="37" borderId="21" xfId="0" applyFont="1" applyFill="1" applyBorder="1" applyAlignment="1">
      <alignment wrapText="1"/>
    </xf>
    <xf numFmtId="0" fontId="2" fillId="0" borderId="20" xfId="0" applyFont="1" applyBorder="1" applyAlignment="1">
      <alignment wrapText="1"/>
    </xf>
    <xf numFmtId="0" fontId="0" fillId="0" borderId="21" xfId="0" applyBorder="1" applyAlignment="1">
      <alignment horizontal="right" wrapText="1"/>
    </xf>
    <xf numFmtId="0" fontId="0" fillId="0" borderId="21" xfId="0" applyBorder="1" applyAlignment="1">
      <alignment wrapText="1"/>
    </xf>
    <xf numFmtId="0" fontId="0" fillId="0" borderId="65" xfId="0" applyBorder="1" applyAlignment="1">
      <alignment horizontal="right" vertical="center" wrapText="1"/>
    </xf>
    <xf numFmtId="0" fontId="55" fillId="0" borderId="20" xfId="0" applyFont="1" applyBorder="1" applyAlignment="1">
      <alignment horizontal="right" wrapText="1"/>
    </xf>
    <xf numFmtId="0" fontId="56" fillId="0" borderId="21" xfId="0" applyFont="1" applyBorder="1" applyAlignment="1">
      <alignment horizontal="right" vertical="center" wrapText="1"/>
    </xf>
    <xf numFmtId="0" fontId="0" fillId="38" borderId="63" xfId="0" applyFill="1" applyBorder="1" applyAlignment="1">
      <alignment wrapText="1"/>
    </xf>
    <xf numFmtId="0" fontId="57" fillId="38" borderId="63" xfId="0" applyFont="1" applyFill="1" applyBorder="1" applyAlignment="1">
      <alignment wrapText="1"/>
    </xf>
    <xf numFmtId="0" fontId="0" fillId="38" borderId="63" xfId="0" applyFill="1" applyBorder="1" applyAlignment="1">
      <alignment horizontal="center" wrapText="1"/>
    </xf>
    <xf numFmtId="14" fontId="0" fillId="38" borderId="63" xfId="0" applyNumberFormat="1" applyFill="1" applyBorder="1" applyAlignment="1">
      <alignment horizontal="right" wrapText="1"/>
    </xf>
    <xf numFmtId="0" fontId="58" fillId="38" borderId="63" xfId="0" applyFont="1" applyFill="1" applyBorder="1" applyAlignment="1">
      <alignment wrapText="1"/>
    </xf>
    <xf numFmtId="0" fontId="11" fillId="38" borderId="63" xfId="0" applyFont="1" applyFill="1" applyBorder="1" applyAlignment="1">
      <alignment wrapText="1"/>
    </xf>
    <xf numFmtId="0" fontId="0" fillId="38" borderId="63" xfId="0" applyFill="1" applyBorder="1" applyAlignment="1">
      <alignment vertical="center"/>
    </xf>
    <xf numFmtId="0" fontId="11" fillId="38" borderId="63" xfId="0" applyFont="1" applyFill="1" applyBorder="1" applyAlignment="1">
      <alignment vertical="center"/>
    </xf>
    <xf numFmtId="0" fontId="15" fillId="38" borderId="63" xfId="0" applyFont="1" applyFill="1" applyBorder="1" applyAlignment="1">
      <alignment wrapText="1"/>
    </xf>
    <xf numFmtId="0" fontId="59" fillId="38" borderId="63" xfId="0" applyFont="1" applyFill="1" applyBorder="1" applyAlignment="1">
      <alignment horizontal="right" wrapText="1"/>
    </xf>
    <xf numFmtId="0" fontId="60" fillId="38" borderId="63" xfId="0" applyFont="1" applyFill="1" applyBorder="1" applyAlignment="1">
      <alignment wrapText="1"/>
    </xf>
    <xf numFmtId="0" fontId="61" fillId="38" borderId="63" xfId="0" applyFont="1" applyFill="1" applyBorder="1" applyAlignment="1">
      <alignment horizontal="right" wrapText="1"/>
    </xf>
    <xf numFmtId="0" fontId="62" fillId="38" borderId="63" xfId="0" applyFont="1" applyFill="1" applyBorder="1" applyAlignment="1">
      <alignment horizontal="right" wrapText="1"/>
    </xf>
    <xf numFmtId="0" fontId="11" fillId="38" borderId="63" xfId="0" applyFont="1" applyFill="1" applyBorder="1" applyAlignment="1">
      <alignment horizontal="right" wrapText="1"/>
    </xf>
    <xf numFmtId="0" fontId="63" fillId="38" borderId="63" xfId="0" applyFont="1" applyFill="1" applyBorder="1" applyAlignment="1">
      <alignment vertical="center"/>
    </xf>
    <xf numFmtId="0" fontId="64" fillId="38" borderId="63" xfId="0" applyFont="1" applyFill="1" applyBorder="1" applyAlignment="1">
      <alignment horizontal="right" wrapText="1"/>
    </xf>
    <xf numFmtId="0" fontId="65" fillId="38" borderId="64" xfId="0" applyFont="1" applyFill="1" applyBorder="1" applyAlignment="1">
      <alignment wrapText="1"/>
    </xf>
    <xf numFmtId="0" fontId="4" fillId="38" borderId="71" xfId="0" applyFont="1" applyFill="1" applyBorder="1" applyAlignment="1">
      <alignment vertical="center"/>
    </xf>
    <xf numFmtId="14" fontId="0" fillId="39" borderId="63" xfId="0" applyNumberFormat="1" applyFill="1" applyBorder="1" applyAlignment="1">
      <alignment wrapText="1"/>
    </xf>
    <xf numFmtId="0" fontId="0" fillId="39" borderId="63" xfId="0" applyFill="1" applyBorder="1" applyAlignment="1">
      <alignment wrapText="1"/>
    </xf>
    <xf numFmtId="0" fontId="54" fillId="39" borderId="63" xfId="0" applyFont="1" applyFill="1" applyBorder="1" applyAlignment="1">
      <alignment wrapText="1"/>
    </xf>
    <xf numFmtId="0" fontId="66" fillId="0" borderId="0" xfId="0" applyFont="1"/>
    <xf numFmtId="21" fontId="0" fillId="0" borderId="0" xfId="0" applyNumberFormat="1"/>
    <xf numFmtId="0" fontId="67" fillId="0" borderId="0" xfId="0" applyFont="1" applyAlignment="1">
      <alignment horizontal="left" vertical="center" wrapText="1"/>
    </xf>
    <xf numFmtId="0" fontId="68" fillId="0" borderId="0" xfId="0" applyFont="1" applyAlignment="1">
      <alignment horizontal="left" vertical="center" wrapText="1"/>
    </xf>
    <xf numFmtId="0" fontId="0" fillId="15" borderId="72" xfId="0" applyFill="1" applyBorder="1" applyAlignment="1">
      <alignment vertical="center" wrapText="1"/>
    </xf>
    <xf numFmtId="0" fontId="69" fillId="15" borderId="72" xfId="0" applyFont="1" applyFill="1" applyBorder="1" applyAlignment="1">
      <alignment horizontal="center" vertical="center" wrapText="1"/>
    </xf>
    <xf numFmtId="0" fontId="68" fillId="19" borderId="72" xfId="0" applyFont="1" applyFill="1" applyBorder="1" applyAlignment="1">
      <alignment horizontal="center" vertical="center" wrapText="1"/>
    </xf>
    <xf numFmtId="0" fontId="68" fillId="25" borderId="72" xfId="0" applyFont="1" applyFill="1" applyBorder="1" applyAlignment="1">
      <alignment horizontal="center" vertical="center" wrapText="1"/>
    </xf>
    <xf numFmtId="0" fontId="68" fillId="24" borderId="72" xfId="0" applyFont="1" applyFill="1" applyBorder="1" applyAlignment="1">
      <alignment horizontal="center" vertical="center" wrapText="1"/>
    </xf>
    <xf numFmtId="0" fontId="68" fillId="20" borderId="72" xfId="0" applyFont="1" applyFill="1" applyBorder="1" applyAlignment="1">
      <alignment horizontal="center" vertical="center" wrapText="1"/>
    </xf>
    <xf numFmtId="0" fontId="68" fillId="22" borderId="72" xfId="0" applyFont="1" applyFill="1" applyBorder="1" applyAlignment="1">
      <alignment horizontal="center" vertical="center" wrapText="1"/>
    </xf>
    <xf numFmtId="0" fontId="68" fillId="29" borderId="72" xfId="0" applyFont="1" applyFill="1" applyBorder="1" applyAlignment="1">
      <alignment horizontal="center" vertical="center" wrapText="1"/>
    </xf>
    <xf numFmtId="0" fontId="68" fillId="17" borderId="72" xfId="0" applyFont="1" applyFill="1" applyBorder="1" applyAlignment="1">
      <alignment horizontal="center" vertical="center" wrapText="1"/>
    </xf>
    <xf numFmtId="0" fontId="68" fillId="28" borderId="72" xfId="0" applyFont="1" applyFill="1" applyBorder="1" applyAlignment="1">
      <alignment horizontal="center" vertical="center" wrapText="1"/>
    </xf>
    <xf numFmtId="0" fontId="30" fillId="0" borderId="0" xfId="0" applyFont="1" applyAlignment="1">
      <alignment horizontal="left" vertical="center" wrapText="1"/>
    </xf>
    <xf numFmtId="0" fontId="68" fillId="23" borderId="72" xfId="0" applyFont="1" applyFill="1" applyBorder="1" applyAlignment="1">
      <alignment horizontal="center" vertical="center" wrapText="1"/>
    </xf>
    <xf numFmtId="0" fontId="68" fillId="16" borderId="72" xfId="0" applyFont="1" applyFill="1" applyBorder="1" applyAlignment="1">
      <alignment horizontal="center" vertical="center" wrapText="1"/>
    </xf>
    <xf numFmtId="0" fontId="68" fillId="18" borderId="72" xfId="0" applyFont="1" applyFill="1" applyBorder="1" applyAlignment="1">
      <alignment horizontal="center" vertical="center" wrapText="1"/>
    </xf>
    <xf numFmtId="0" fontId="68" fillId="21" borderId="72" xfId="0" applyFont="1" applyFill="1" applyBorder="1" applyAlignment="1">
      <alignment horizontal="center" vertical="center" wrapText="1"/>
    </xf>
    <xf numFmtId="0" fontId="68" fillId="26" borderId="72" xfId="0" applyFont="1" applyFill="1" applyBorder="1" applyAlignment="1">
      <alignment horizontal="center" vertical="center" wrapText="1"/>
    </xf>
    <xf numFmtId="0" fontId="68" fillId="27" borderId="72" xfId="0" applyFont="1" applyFill="1" applyBorder="1" applyAlignment="1">
      <alignment horizontal="center" vertical="center" wrapText="1"/>
    </xf>
    <xf numFmtId="0" fontId="25" fillId="39" borderId="7" xfId="0" applyFont="1" applyFill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/>
    <xf numFmtId="0" fontId="0" fillId="0" borderId="23" xfId="0" applyBorder="1"/>
    <xf numFmtId="0" fontId="0" fillId="0" borderId="30" xfId="0" applyBorder="1" applyAlignment="1">
      <alignment horizontal="left"/>
    </xf>
    <xf numFmtId="0" fontId="0" fillId="0" borderId="50" xfId="0" applyBorder="1"/>
    <xf numFmtId="0" fontId="0" fillId="0" borderId="7" xfId="0" applyBorder="1"/>
    <xf numFmtId="0" fontId="0" fillId="0" borderId="10" xfId="0" applyBorder="1"/>
    <xf numFmtId="0" fontId="2" fillId="0" borderId="35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 applyAlignment="1">
      <alignment horizontal="left"/>
    </xf>
    <xf numFmtId="0" fontId="8" fillId="0" borderId="0" xfId="0" applyFont="1"/>
    <xf numFmtId="0" fontId="0" fillId="0" borderId="49" xfId="0" applyBorder="1"/>
    <xf numFmtId="0" fontId="0" fillId="0" borderId="47" xfId="0" applyBorder="1"/>
    <xf numFmtId="0" fontId="0" fillId="0" borderId="13" xfId="0" applyBorder="1"/>
    <xf numFmtId="0" fontId="0" fillId="0" borderId="16" xfId="0" applyBorder="1"/>
    <xf numFmtId="0" fontId="0" fillId="0" borderId="15" xfId="0" applyBorder="1"/>
    <xf numFmtId="0" fontId="3" fillId="0" borderId="11" xfId="0" applyFont="1" applyBorder="1" applyAlignment="1">
      <alignment horizontal="center" vertical="center"/>
    </xf>
    <xf numFmtId="0" fontId="0" fillId="0" borderId="0" xfId="0"/>
    <xf numFmtId="0" fontId="0" fillId="0" borderId="11" xfId="0" applyBorder="1"/>
    <xf numFmtId="14" fontId="3" fillId="0" borderId="0" xfId="0" applyNumberFormat="1" applyFont="1" applyAlignment="1">
      <alignment horizontal="center"/>
    </xf>
    <xf numFmtId="0" fontId="0" fillId="0" borderId="7" xfId="0" applyBorder="1" applyAlignment="1">
      <alignment horizontal="center"/>
    </xf>
    <xf numFmtId="0" fontId="1" fillId="0" borderId="35" xfId="0" applyFont="1" applyBorder="1" applyAlignment="1">
      <alignment horizontal="center" vertical="center"/>
    </xf>
    <xf numFmtId="0" fontId="2" fillId="0" borderId="7" xfId="0" applyFont="1" applyBorder="1"/>
    <xf numFmtId="0" fontId="0" fillId="0" borderId="46" xfId="0" applyBorder="1"/>
    <xf numFmtId="0" fontId="0" fillId="0" borderId="27" xfId="0" applyBorder="1"/>
    <xf numFmtId="0" fontId="0" fillId="0" borderId="12" xfId="0" applyBorder="1"/>
    <xf numFmtId="0" fontId="0" fillId="0" borderId="48" xfId="0" applyBorder="1"/>
    <xf numFmtId="0" fontId="11" fillId="38" borderId="69" xfId="0" applyFont="1" applyFill="1" applyBorder="1" applyAlignment="1">
      <alignment vertical="center" wrapText="1"/>
    </xf>
    <xf numFmtId="0" fontId="11" fillId="38" borderId="70" xfId="0" applyFont="1" applyFill="1" applyBorder="1" applyAlignment="1">
      <alignment vertical="center" wrapText="1"/>
    </xf>
    <xf numFmtId="0" fontId="0" fillId="38" borderId="67" xfId="0" applyFill="1" applyBorder="1" applyAlignment="1">
      <alignment wrapText="1"/>
    </xf>
    <xf numFmtId="0" fontId="0" fillId="38" borderId="68" xfId="0" applyFill="1" applyBorder="1" applyAlignment="1">
      <alignment wrapText="1"/>
    </xf>
    <xf numFmtId="0" fontId="52" fillId="36" borderId="60" xfId="0" applyFont="1" applyFill="1" applyBorder="1" applyAlignment="1">
      <alignment horizontal="center" wrapText="1"/>
    </xf>
    <xf numFmtId="0" fontId="52" fillId="36" borderId="61" xfId="0" applyFont="1" applyFill="1" applyBorder="1" applyAlignment="1">
      <alignment horizontal="center" wrapText="1"/>
    </xf>
    <xf numFmtId="0" fontId="52" fillId="36" borderId="62" xfId="0" applyFont="1" applyFill="1" applyBorder="1" applyAlignment="1">
      <alignment horizontal="center" wrapText="1"/>
    </xf>
    <xf numFmtId="0" fontId="0" fillId="0" borderId="66" xfId="0" applyBorder="1" applyAlignment="1">
      <alignment horizontal="right" vertical="center" wrapText="1"/>
    </xf>
    <xf numFmtId="0" fontId="0" fillId="0" borderId="38" xfId="0" applyBorder="1" applyAlignment="1">
      <alignment horizontal="right" vertical="center" wrapText="1"/>
    </xf>
    <xf numFmtId="0" fontId="0" fillId="0" borderId="66" xfId="0" applyBorder="1" applyAlignment="1">
      <alignment vertical="center" wrapText="1"/>
    </xf>
    <xf numFmtId="0" fontId="0" fillId="0" borderId="38" xfId="0" applyBorder="1" applyAlignment="1">
      <alignment vertical="center" wrapText="1"/>
    </xf>
    <xf numFmtId="0" fontId="58" fillId="38" borderId="67" xfId="0" applyFont="1" applyFill="1" applyBorder="1" applyAlignment="1">
      <alignment wrapText="1"/>
    </xf>
    <xf numFmtId="0" fontId="58" fillId="38" borderId="68" xfId="0" applyFont="1" applyFill="1" applyBorder="1" applyAlignment="1">
      <alignment wrapText="1"/>
    </xf>
    <xf numFmtId="0" fontId="58" fillId="38" borderId="67" xfId="0" applyFont="1" applyFill="1" applyBorder="1" applyAlignment="1">
      <alignment horizontal="center" wrapText="1"/>
    </xf>
    <xf numFmtId="0" fontId="58" fillId="38" borderId="68" xfId="0" applyFont="1" applyFill="1" applyBorder="1" applyAlignment="1">
      <alignment horizontal="center" wrapText="1"/>
    </xf>
    <xf numFmtId="0" fontId="11" fillId="38" borderId="67" xfId="0" applyFont="1" applyFill="1" applyBorder="1" applyAlignment="1">
      <alignment wrapText="1"/>
    </xf>
    <xf numFmtId="0" fontId="11" fillId="38" borderId="68" xfId="0" applyFont="1" applyFill="1" applyBorder="1" applyAlignment="1">
      <alignment wrapText="1"/>
    </xf>
    <xf numFmtId="0" fontId="0" fillId="32" borderId="0" xfId="0" applyFill="1" applyAlignment="1">
      <alignment horizontal="center" vertical="center" wrapText="1"/>
    </xf>
    <xf numFmtId="0" fontId="0" fillId="30" borderId="0" xfId="0" applyFill="1" applyAlignment="1">
      <alignment horizontal="center" vertical="center" wrapText="1"/>
    </xf>
    <xf numFmtId="0" fontId="0" fillId="33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16" fillId="12" borderId="0" xfId="0" applyFont="1" applyFill="1" applyAlignment="1">
      <alignment horizontal="center" vertical="center"/>
    </xf>
    <xf numFmtId="0" fontId="27" fillId="0" borderId="0" xfId="0" applyFont="1"/>
    <xf numFmtId="0" fontId="48" fillId="0" borderId="59" xfId="0" applyFont="1" applyBorder="1" applyAlignment="1">
      <alignment horizontal="center"/>
    </xf>
    <xf numFmtId="0" fontId="0" fillId="0" borderId="51" xfId="0" applyBorder="1"/>
    <xf numFmtId="0" fontId="0" fillId="12" borderId="0" xfId="0" applyFill="1" applyAlignment="1">
      <alignment horizontal="left" wrapText="1"/>
    </xf>
    <xf numFmtId="0" fontId="0" fillId="12" borderId="0" xfId="0" applyFill="1"/>
  </cellXfs>
  <cellStyles count="8">
    <cellStyle name="20 % - Accent4" xfId="4" builtinId="42"/>
    <cellStyle name="Entrée" xfId="3" builtinId="20"/>
    <cellStyle name="Insatisfaisant" xfId="1" builtinId="27"/>
    <cellStyle name="Normal" xfId="0" builtinId="0"/>
    <cellStyle name="Normal 2" xfId="5" xr:uid="{00000000-0005-0000-0000-000005000000}"/>
    <cellStyle name="Normal 2 2" xfId="7" xr:uid="{00000000-0005-0000-0000-000007000000}"/>
    <cellStyle name="Normal 3" xfId="6" xr:uid="{00000000-0005-0000-0000-000006000000}"/>
    <cellStyle name="Satisfaisant" xfId="2" builtinId="26"/>
  </cellStyles>
  <dxfs count="7">
    <dxf>
      <font>
        <b/>
        <color rgb="FFFFFFFF"/>
        <name val="Calibri"/>
        <family val="2"/>
        <charset val="1"/>
      </font>
      <fill>
        <patternFill>
          <bgColor rgb="FFCC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1400" b="0" i="0">
                <a:solidFill>
                  <a:srgbClr val="595959"/>
                </a:solidFill>
                <a:latin typeface="+mn-lt"/>
              </a:defRPr>
            </a:pPr>
            <a:r>
              <a:rPr lang="fr-FR"/>
              <a:t>Calibration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  <a:prstDash val="solid"/>
            </a:ln>
          </c:spPr>
          <c:marker>
            <c:symbol val="circle"/>
            <c:size val="5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  <a:prstDash val="solid"/>
              </a:ln>
            </c:spPr>
          </c:marker>
          <c:trendline>
            <c:spPr>
              <a:ln w="19050">
                <a:solidFill>
                  <a:schemeClr val="accent1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5"/>
              <c:pt idx="0">
                <c:v>5</c:v>
              </c:pt>
              <c:pt idx="1">
                <c:v>2</c:v>
              </c:pt>
              <c:pt idx="2">
                <c:v>1</c:v>
              </c:pt>
              <c:pt idx="3">
                <c:v>0.5</c:v>
              </c:pt>
              <c:pt idx="4">
                <c:v>0.2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DA2C-415C-A09B-6F1800175E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50588"/>
        <c:axId val="1212213647"/>
      </c:scatterChart>
      <c:valAx>
        <c:axId val="2145850588"/>
        <c:scaling>
          <c:orientation val="minMax"/>
        </c:scaling>
        <c:delete val="0"/>
        <c:axPos val="b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minorGridlines>
          <c:spPr>
            <a:ln>
              <a:solidFill>
                <a:srgbClr val="CCCCCC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 lvl="0">
                  <a:defRPr sz="1000" b="0" i="0">
                    <a:solidFill>
                      <a:srgbClr val="595959"/>
                    </a:solidFill>
                    <a:latin typeface="+mn-lt"/>
                  </a:defRPr>
                </a:pPr>
                <a:r>
                  <a:rPr lang="fr-FR"/>
                  <a:t>Concentration (µM)</a:t>
                </a:r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spPr>
          <a:ln w="47625">
            <a:noFill/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595959"/>
                </a:solidFill>
                <a:latin typeface="+mn-lt"/>
              </a:defRPr>
            </a:pPr>
            <a:endParaRPr lang="fr-FR"/>
          </a:p>
        </c:txPr>
        <c:crossAx val="1212213647"/>
        <c:crosses val="autoZero"/>
        <c:crossBetween val="midCat"/>
      </c:valAx>
      <c:valAx>
        <c:axId val="1212213647"/>
        <c:scaling>
          <c:orientation val="minMax"/>
        </c:scaling>
        <c:delete val="0"/>
        <c:axPos val="l"/>
        <c:majorGridlines>
          <c:spPr>
            <a:ln>
              <a:solidFill>
                <a:srgbClr val="D9D9D9"/>
              </a:solidFill>
              <a:prstDash val="solid"/>
            </a:ln>
          </c:spPr>
        </c:majorGridlines>
        <c:minorGridlines>
          <c:spPr>
            <a:ln>
              <a:solidFill>
                <a:srgbClr val="CCCCCC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 lvl="0">
                  <a:defRPr sz="1000" b="0" i="0">
                    <a:solidFill>
                      <a:srgbClr val="595959"/>
                    </a:solidFill>
                    <a:latin typeface="+mn-lt"/>
                  </a:defRPr>
                </a:pPr>
                <a:r>
                  <a:rPr lang="fr-FR"/>
                  <a:t>Intensity (a.u.)</a:t>
                </a:r>
              </a:p>
            </c:rich>
          </c:tx>
          <c:overlay val="0"/>
        </c:title>
        <c:numFmt formatCode="General" sourceLinked="1"/>
        <c:majorTickMark val="cross"/>
        <c:minorTickMark val="cross"/>
        <c:tickLblPos val="nextTo"/>
        <c:spPr>
          <a:ln w="47625">
            <a:noFill/>
            <a:prstDash val="solid"/>
          </a:ln>
        </c:spPr>
        <c:txPr>
          <a:bodyPr/>
          <a:lstStyle/>
          <a:p>
            <a:pPr lvl="0">
              <a:defRPr sz="900" b="0" i="0">
                <a:solidFill>
                  <a:srgbClr val="595959"/>
                </a:solidFill>
                <a:latin typeface="+mn-lt"/>
              </a:defRPr>
            </a:pPr>
            <a:endParaRPr lang="fr-FR"/>
          </a:p>
        </c:txPr>
        <c:crossAx val="2145850588"/>
        <c:crosses val="autoZero"/>
        <c:crossBetween val="midCat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511970935107721E-2"/>
          <c:y val="0.38095290036868168"/>
          <c:w val="0.96316277291617369"/>
          <c:h val="0.10831388119287071"/>
        </c:manualLayout>
      </c:layout>
      <c:barChart>
        <c:barDir val="col"/>
        <c:grouping val="clustered"/>
        <c:varyColors val="0"/>
        <c:ser>
          <c:idx val="0"/>
          <c:order val="0"/>
          <c:tx>
            <c:v>None</c:v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Oligos!$F$3:$F$98</c:f>
              <c:numCache>
                <c:formatCode>General</c:formatCode>
                <c:ptCount val="96"/>
                <c:pt idx="0">
                  <c:v>24</c:v>
                </c:pt>
                <c:pt idx="1">
                  <c:v>25</c:v>
                </c:pt>
                <c:pt idx="2">
                  <c:v>22</c:v>
                </c:pt>
                <c:pt idx="3">
                  <c:v>24</c:v>
                </c:pt>
                <c:pt idx="4">
                  <c:v>22</c:v>
                </c:pt>
                <c:pt idx="5">
                  <c:v>28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24</c:v>
                </c:pt>
                <c:pt idx="11">
                  <c:v>24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24</c:v>
                </c:pt>
                <c:pt idx="16">
                  <c:v>24</c:v>
                </c:pt>
                <c:pt idx="17">
                  <c:v>22</c:v>
                </c:pt>
                <c:pt idx="18">
                  <c:v>27</c:v>
                </c:pt>
                <c:pt idx="19">
                  <c:v>26</c:v>
                </c:pt>
                <c:pt idx="20">
                  <c:v>22</c:v>
                </c:pt>
                <c:pt idx="21">
                  <c:v>23</c:v>
                </c:pt>
                <c:pt idx="22">
                  <c:v>27</c:v>
                </c:pt>
                <c:pt idx="23">
                  <c:v>25</c:v>
                </c:pt>
                <c:pt idx="24">
                  <c:v>23</c:v>
                </c:pt>
                <c:pt idx="25">
                  <c:v>25</c:v>
                </c:pt>
                <c:pt idx="26">
                  <c:v>29</c:v>
                </c:pt>
                <c:pt idx="27">
                  <c:v>29</c:v>
                </c:pt>
                <c:pt idx="28">
                  <c:v>22</c:v>
                </c:pt>
                <c:pt idx="29">
                  <c:v>22</c:v>
                </c:pt>
                <c:pt idx="30">
                  <c:v>27</c:v>
                </c:pt>
                <c:pt idx="31">
                  <c:v>25</c:v>
                </c:pt>
                <c:pt idx="32">
                  <c:v>27</c:v>
                </c:pt>
                <c:pt idx="33">
                  <c:v>23</c:v>
                </c:pt>
                <c:pt idx="34">
                  <c:v>25</c:v>
                </c:pt>
                <c:pt idx="35">
                  <c:v>22</c:v>
                </c:pt>
                <c:pt idx="36">
                  <c:v>24</c:v>
                </c:pt>
                <c:pt idx="37">
                  <c:v>29</c:v>
                </c:pt>
                <c:pt idx="38">
                  <c:v>22</c:v>
                </c:pt>
                <c:pt idx="39">
                  <c:v>28</c:v>
                </c:pt>
                <c:pt idx="40">
                  <c:v>22</c:v>
                </c:pt>
                <c:pt idx="41">
                  <c:v>25</c:v>
                </c:pt>
                <c:pt idx="42">
                  <c:v>22</c:v>
                </c:pt>
                <c:pt idx="43">
                  <c:v>26</c:v>
                </c:pt>
                <c:pt idx="44">
                  <c:v>23</c:v>
                </c:pt>
                <c:pt idx="45">
                  <c:v>22</c:v>
                </c:pt>
                <c:pt idx="46">
                  <c:v>29</c:v>
                </c:pt>
                <c:pt idx="47">
                  <c:v>22</c:v>
                </c:pt>
                <c:pt idx="48">
                  <c:v>23</c:v>
                </c:pt>
                <c:pt idx="49">
                  <c:v>25</c:v>
                </c:pt>
                <c:pt idx="50">
                  <c:v>22</c:v>
                </c:pt>
                <c:pt idx="51">
                  <c:v>22</c:v>
                </c:pt>
                <c:pt idx="52">
                  <c:v>25</c:v>
                </c:pt>
                <c:pt idx="53">
                  <c:v>29</c:v>
                </c:pt>
                <c:pt idx="54">
                  <c:v>30</c:v>
                </c:pt>
                <c:pt idx="55">
                  <c:v>29</c:v>
                </c:pt>
                <c:pt idx="56">
                  <c:v>28</c:v>
                </c:pt>
                <c:pt idx="57">
                  <c:v>28</c:v>
                </c:pt>
                <c:pt idx="58">
                  <c:v>25</c:v>
                </c:pt>
                <c:pt idx="59">
                  <c:v>28</c:v>
                </c:pt>
                <c:pt idx="60">
                  <c:v>22</c:v>
                </c:pt>
                <c:pt idx="61">
                  <c:v>22</c:v>
                </c:pt>
                <c:pt idx="62">
                  <c:v>24</c:v>
                </c:pt>
                <c:pt idx="63">
                  <c:v>23</c:v>
                </c:pt>
                <c:pt idx="64">
                  <c:v>28</c:v>
                </c:pt>
                <c:pt idx="65">
                  <c:v>29</c:v>
                </c:pt>
                <c:pt idx="66">
                  <c:v>22</c:v>
                </c:pt>
                <c:pt idx="67">
                  <c:v>22</c:v>
                </c:pt>
                <c:pt idx="68">
                  <c:v>23</c:v>
                </c:pt>
                <c:pt idx="69">
                  <c:v>26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27</c:v>
                </c:pt>
                <c:pt idx="79">
                  <c:v>23</c:v>
                </c:pt>
                <c:pt idx="80">
                  <c:v>29</c:v>
                </c:pt>
                <c:pt idx="81">
                  <c:v>27</c:v>
                </c:pt>
                <c:pt idx="82">
                  <c:v>29</c:v>
                </c:pt>
                <c:pt idx="83">
                  <c:v>22</c:v>
                </c:pt>
                <c:pt idx="84">
                  <c:v>26</c:v>
                </c:pt>
                <c:pt idx="85">
                  <c:v>26</c:v>
                </c:pt>
                <c:pt idx="86">
                  <c:v>22</c:v>
                </c:pt>
                <c:pt idx="87">
                  <c:v>22</c:v>
                </c:pt>
                <c:pt idx="88">
                  <c:v>23</c:v>
                </c:pt>
                <c:pt idx="89">
                  <c:v>24</c:v>
                </c:pt>
                <c:pt idx="90">
                  <c:v>25</c:v>
                </c:pt>
                <c:pt idx="91">
                  <c:v>24</c:v>
                </c:pt>
                <c:pt idx="92">
                  <c:v>25</c:v>
                </c:pt>
                <c:pt idx="93">
                  <c:v>22</c:v>
                </c:pt>
                <c:pt idx="94">
                  <c:v>22</c:v>
                </c:pt>
                <c:pt idx="95">
                  <c:v>25</c:v>
                </c:pt>
              </c:numCache>
            </c:numRef>
          </c:cat>
          <c:val>
            <c:numRef>
              <c:f>Oligos!$R$3:$R$98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5-4C48-8966-C01D722CC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5270048"/>
        <c:axId val="1952126272"/>
      </c:barChart>
      <c:catAx>
        <c:axId val="65527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6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52126272"/>
        <c:crosses val="autoZero"/>
        <c:auto val="1"/>
        <c:lblAlgn val="ctr"/>
        <c:lblOffset val="100"/>
        <c:noMultiLvlLbl val="0"/>
      </c:catAx>
      <c:valAx>
        <c:axId val="195212627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crossAx val="655270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Quantity (pmol)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Oligos!$B$107</c:f>
              <c:strCache>
                <c:ptCount val="1"/>
                <c:pt idx="0">
                  <c:v>Quantity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Oligos!$C$110:$C$121</c:f>
              <c:strCache>
                <c:ptCount val="12"/>
                <c:pt idx="0">
                  <c:v>&lt;0</c:v>
                </c:pt>
                <c:pt idx="1">
                  <c:v>0-50</c:v>
                </c:pt>
                <c:pt idx="2">
                  <c:v>50-100</c:v>
                </c:pt>
                <c:pt idx="3">
                  <c:v>100-150</c:v>
                </c:pt>
                <c:pt idx="4">
                  <c:v>150-200</c:v>
                </c:pt>
                <c:pt idx="5">
                  <c:v>200-250</c:v>
                </c:pt>
                <c:pt idx="6">
                  <c:v>250-300</c:v>
                </c:pt>
                <c:pt idx="7">
                  <c:v>300-350</c:v>
                </c:pt>
                <c:pt idx="8">
                  <c:v>350-400</c:v>
                </c:pt>
                <c:pt idx="9">
                  <c:v>400-450</c:v>
                </c:pt>
                <c:pt idx="10">
                  <c:v>450-500</c:v>
                </c:pt>
                <c:pt idx="11">
                  <c:v>&gt;500</c:v>
                </c:pt>
              </c:strCache>
            </c:strRef>
          </c:cat>
          <c:val>
            <c:numRef>
              <c:f>Oligos!$D$110:$D$121</c:f>
              <c:numCache>
                <c:formatCode>General</c:formatCode>
                <c:ptCount val="1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48-4DDC-B480-0F6E9E032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-27"/>
        <c:axId val="1518338784"/>
        <c:axId val="1576488640"/>
      </c:barChart>
      <c:catAx>
        <c:axId val="151833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Quantity range (pmol)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6488640"/>
        <c:crosses val="autoZero"/>
        <c:auto val="1"/>
        <c:lblAlgn val="ctr"/>
        <c:lblOffset val="100"/>
        <c:noMultiLvlLbl val="0"/>
      </c:catAx>
      <c:valAx>
        <c:axId val="157648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Nb of wells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1833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Quantity (pmol)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Oligos!$O$107</c:f>
              <c:strCache>
                <c:ptCount val="1"/>
                <c:pt idx="0">
                  <c:v>Purity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Oligos!$P$110:$P$121</c:f>
              <c:strCache>
                <c:ptCount val="12"/>
                <c:pt idx="0">
                  <c:v>&lt;0</c:v>
                </c:pt>
                <c:pt idx="1">
                  <c:v>0-50</c:v>
                </c:pt>
                <c:pt idx="2">
                  <c:v>50-100</c:v>
                </c:pt>
                <c:pt idx="3">
                  <c:v>100-150</c:v>
                </c:pt>
                <c:pt idx="4">
                  <c:v>150-200</c:v>
                </c:pt>
                <c:pt idx="5">
                  <c:v>200-250</c:v>
                </c:pt>
                <c:pt idx="6">
                  <c:v>250-300</c:v>
                </c:pt>
                <c:pt idx="7">
                  <c:v>300-350</c:v>
                </c:pt>
                <c:pt idx="8">
                  <c:v>350-400</c:v>
                </c:pt>
                <c:pt idx="9">
                  <c:v>400-450</c:v>
                </c:pt>
                <c:pt idx="10">
                  <c:v>450-500</c:v>
                </c:pt>
                <c:pt idx="11">
                  <c:v>&gt;500</c:v>
                </c:pt>
              </c:strCache>
            </c:strRef>
          </c:cat>
          <c:val>
            <c:numRef>
              <c:f>Oligos!$Q$110:$Q$121</c:f>
              <c:numCache>
                <c:formatCode>General</c:formatCode>
                <c:ptCount val="12"/>
                <c:pt idx="0">
                  <c:v>96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45-413F-A52C-D095375994A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5"/>
        <c:overlap val="-27"/>
        <c:axId val="1518338784"/>
        <c:axId val="1576488640"/>
      </c:barChart>
      <c:catAx>
        <c:axId val="151833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Purity range (%)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6488640"/>
        <c:crosses val="autoZero"/>
        <c:auto val="1"/>
        <c:lblAlgn val="ctr"/>
        <c:lblOffset val="100"/>
        <c:noMultiLvlLbl val="0"/>
      </c:catAx>
      <c:valAx>
        <c:axId val="157648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Nb of wells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1833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9525</xdr:colOff>
      <xdr:row>13</xdr:row>
      <xdr:rowOff>66675</xdr:rowOff>
    </xdr:from>
    <xdr:ext cx="3248025" cy="21526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755650</xdr:colOff>
          <xdr:row>29</xdr:row>
          <xdr:rowOff>114300</xdr:rowOff>
        </xdr:from>
        <xdr:to>
          <xdr:col>20</xdr:col>
          <xdr:colOff>647700</xdr:colOff>
          <xdr:row>32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0</xdr:row>
      <xdr:rowOff>50799</xdr:rowOff>
    </xdr:from>
    <xdr:to>
      <xdr:col>14</xdr:col>
      <xdr:colOff>701676</xdr:colOff>
      <xdr:row>2</xdr:row>
      <xdr:rowOff>55561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944468</xdr:colOff>
      <xdr:row>108</xdr:row>
      <xdr:rowOff>8031</xdr:rowOff>
    </xdr:from>
    <xdr:to>
      <xdr:col>9</xdr:col>
      <xdr:colOff>358587</xdr:colOff>
      <xdr:row>124</xdr:row>
      <xdr:rowOff>104029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731557</xdr:colOff>
      <xdr:row>108</xdr:row>
      <xdr:rowOff>8031</xdr:rowOff>
    </xdr:from>
    <xdr:to>
      <xdr:col>25</xdr:col>
      <xdr:colOff>414618</xdr:colOff>
      <xdr:row>124</xdr:row>
      <xdr:rowOff>104029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D62"/>
  <sheetViews>
    <sheetView topLeftCell="A37" zoomScale="85" zoomScaleNormal="85" workbookViewId="0">
      <selection activeCell="D11" sqref="D11"/>
    </sheetView>
  </sheetViews>
  <sheetFormatPr baseColWidth="10" defaultRowHeight="14.5" x14ac:dyDescent="0.35"/>
  <cols>
    <col min="1" max="1" width="30.1796875" style="200" customWidth="1"/>
    <col min="2" max="2" width="54.6328125" style="200" customWidth="1"/>
  </cols>
  <sheetData>
    <row r="1" spans="1:4" x14ac:dyDescent="0.35">
      <c r="A1" s="128" t="s">
        <v>0</v>
      </c>
      <c r="B1" s="146" t="str">
        <f>'Qty reactants'!F1</f>
        <v>200504_P1_HL_ncov2019_Pool1</v>
      </c>
    </row>
    <row r="2" spans="1:4" x14ac:dyDescent="0.35">
      <c r="A2" s="128" t="s">
        <v>1</v>
      </c>
      <c r="B2" s="145" t="s">
        <v>2</v>
      </c>
    </row>
    <row r="3" spans="1:4" x14ac:dyDescent="0.35">
      <c r="A3" s="128" t="s">
        <v>3</v>
      </c>
      <c r="B3" s="140" t="s">
        <v>4</v>
      </c>
    </row>
    <row r="4" spans="1:4" x14ac:dyDescent="0.35">
      <c r="A4" s="128" t="s">
        <v>5</v>
      </c>
      <c r="B4" s="153">
        <f>WEEKNUM(DATE("20"&amp;LEFT(B3,2),MID(B3,3,2),RIGHT(B3,2)))</f>
        <v>19</v>
      </c>
      <c r="D4" s="41"/>
    </row>
    <row r="5" spans="1:4" x14ac:dyDescent="0.35">
      <c r="A5" s="128" t="s">
        <v>6</v>
      </c>
      <c r="B5" s="153" t="s">
        <v>7</v>
      </c>
    </row>
    <row r="6" spans="1:4" x14ac:dyDescent="0.35">
      <c r="B6" s="129"/>
    </row>
    <row r="7" spans="1:4" x14ac:dyDescent="0.35">
      <c r="A7" s="130" t="s">
        <v>8</v>
      </c>
      <c r="B7" s="147" t="s">
        <v>9</v>
      </c>
    </row>
    <row r="8" spans="1:4" x14ac:dyDescent="0.35">
      <c r="A8" s="130" t="s">
        <v>10</v>
      </c>
      <c r="B8" s="162" t="str">
        <f>'Size And Resins'!B42</f>
        <v>ElongationCycleSeparatedTwoEnzyme</v>
      </c>
    </row>
    <row r="9" spans="1:4" x14ac:dyDescent="0.35">
      <c r="A9" s="130" t="s">
        <v>11</v>
      </c>
      <c r="B9" s="147" t="str">
        <f>'Size And Resins'!B18</f>
        <v>96 wwPTFE (PALL 8584)</v>
      </c>
    </row>
    <row r="10" spans="1:4" x14ac:dyDescent="0.35">
      <c r="A10" s="131"/>
      <c r="B10" s="147"/>
    </row>
    <row r="11" spans="1:4" x14ac:dyDescent="0.35">
      <c r="A11" s="131" t="s">
        <v>12</v>
      </c>
      <c r="B11" s="147">
        <f>'Qty reactants'!I7</f>
        <v>96</v>
      </c>
    </row>
    <row r="12" spans="1:4" x14ac:dyDescent="0.35">
      <c r="A12" s="131" t="s">
        <v>13</v>
      </c>
      <c r="B12" s="147">
        <f>'Size And Resins'!N15</f>
        <v>30</v>
      </c>
    </row>
    <row r="13" spans="1:4" x14ac:dyDescent="0.35">
      <c r="A13" s="131" t="s">
        <v>14</v>
      </c>
      <c r="B13" s="147" t="str">
        <f>IF(COUNTIF('Size And Resins'!C32:D38,"dI Scarless")&gt;0,"dI Scarless ","") &amp; IF(COUNTIF('Size And Resins'!C32:D38,"dI Fluo")&gt;0,"dI Fluo","")</f>
        <v xml:space="preserve">dI Scarless </v>
      </c>
    </row>
    <row r="14" spans="1:4" x14ac:dyDescent="0.35">
      <c r="A14" s="131" t="s">
        <v>15</v>
      </c>
      <c r="B14" s="147" t="str">
        <f>'Size And Resins'!B32 &amp; IF(LEN('Size And Resins'!B33)&gt;0," " &amp; 'Size And Resins'!B33,"") &amp; IF(LEN('Size And Resins'!B34)&gt;0," " &amp; 'Size And Resins'!B34,"") &amp; IF(LEN('Size And Resins'!B35)&gt;0," " &amp; 'Size And Resins'!B35,"") &amp; IF(LEN('Size And Resins'!B36)&gt;0," " &amp; 'Size And Resins'!B36,"")  &amp; IF(LEN('Size And Resins'!B37)&gt;0," " &amp; 'Size And Resins'!B37,"") &amp; IF(LEN('Size And Resins'!B38)&gt;0," " &amp; 'Size And Resins'!B38,"")</f>
        <v>R283 20200429,4</v>
      </c>
    </row>
    <row r="15" spans="1:4" x14ac:dyDescent="0.35">
      <c r="A15" s="131" t="s">
        <v>16</v>
      </c>
      <c r="B15" s="147" t="str">
        <f>'Size And Resins'!B40</f>
        <v>750pmol</v>
      </c>
    </row>
    <row r="16" spans="1:4" x14ac:dyDescent="0.35">
      <c r="A16" s="131" t="s">
        <v>17</v>
      </c>
      <c r="B16" s="202">
        <v>1704</v>
      </c>
    </row>
    <row r="17" spans="1:2" x14ac:dyDescent="0.35">
      <c r="A17" s="131" t="s">
        <v>18</v>
      </c>
      <c r="B17" s="202">
        <v>1702</v>
      </c>
    </row>
    <row r="18" spans="1:2" x14ac:dyDescent="0.35">
      <c r="A18" s="131" t="s">
        <v>19</v>
      </c>
      <c r="B18" s="202" t="s">
        <v>636</v>
      </c>
    </row>
    <row r="19" spans="1:2" x14ac:dyDescent="0.35">
      <c r="A19" s="131" t="s">
        <v>20</v>
      </c>
      <c r="B19" s="202">
        <v>2004</v>
      </c>
    </row>
    <row r="20" spans="1:2" x14ac:dyDescent="0.35">
      <c r="A20" s="131" t="s">
        <v>21</v>
      </c>
      <c r="B20" s="202">
        <v>200430</v>
      </c>
    </row>
    <row r="21" spans="1:2" x14ac:dyDescent="0.35">
      <c r="A21" s="133" t="s">
        <v>22</v>
      </c>
      <c r="B21" s="203">
        <f>'Qty reactants'!B23/(2*100)</f>
        <v>0.2</v>
      </c>
    </row>
    <row r="22" spans="1:2" x14ac:dyDescent="0.35">
      <c r="A22" s="134" t="s">
        <v>23</v>
      </c>
      <c r="B22" s="148">
        <v>1E-4</v>
      </c>
    </row>
    <row r="23" spans="1:2" x14ac:dyDescent="0.35">
      <c r="A23" s="131" t="s">
        <v>24</v>
      </c>
      <c r="B23" s="147" t="str">
        <f>'Qty reactants'!B34</f>
        <v>H1</v>
      </c>
    </row>
    <row r="24" spans="1:2" x14ac:dyDescent="0.35">
      <c r="A24" s="135" t="s">
        <v>25</v>
      </c>
      <c r="B24" s="147">
        <f>'Qty reactants'!B36/2</f>
        <v>20</v>
      </c>
    </row>
    <row r="25" spans="1:2" x14ac:dyDescent="0.35">
      <c r="A25" s="131" t="s">
        <v>26</v>
      </c>
      <c r="B25" s="147" t="s">
        <v>27</v>
      </c>
    </row>
    <row r="26" spans="1:2" x14ac:dyDescent="0.35">
      <c r="A26" s="131" t="s">
        <v>28</v>
      </c>
      <c r="B26" s="147">
        <f>'Qty reactants'!B22/2</f>
        <v>500</v>
      </c>
    </row>
    <row r="27" spans="1:2" x14ac:dyDescent="0.35">
      <c r="A27" s="136" t="s">
        <v>29</v>
      </c>
      <c r="B27" s="137" t="str">
        <f>'Qty reactants'!B20</f>
        <v>NA-17</v>
      </c>
    </row>
    <row r="28" spans="1:2" x14ac:dyDescent="0.35">
      <c r="A28" s="136" t="s">
        <v>30</v>
      </c>
      <c r="B28" s="137" t="str">
        <f>'Qty reactants'!C20</f>
        <v>NC-17</v>
      </c>
    </row>
    <row r="29" spans="1:2" x14ac:dyDescent="0.35">
      <c r="A29" s="136" t="s">
        <v>31</v>
      </c>
      <c r="B29" s="137" t="str">
        <f>'Qty reactants'!D20</f>
        <v>NG-23</v>
      </c>
    </row>
    <row r="30" spans="1:2" x14ac:dyDescent="0.35">
      <c r="A30" s="136" t="s">
        <v>32</v>
      </c>
      <c r="B30" s="137" t="str">
        <f>'Qty reactants'!E20</f>
        <v>NT-18</v>
      </c>
    </row>
    <row r="32" spans="1:2" x14ac:dyDescent="0.35">
      <c r="A32" s="131" t="s">
        <v>33</v>
      </c>
      <c r="B32" s="132"/>
    </row>
    <row r="33" spans="1:2" x14ac:dyDescent="0.35">
      <c r="A33" s="131" t="s">
        <v>34</v>
      </c>
      <c r="B33" s="132"/>
    </row>
    <row r="35" spans="1:2" x14ac:dyDescent="0.35">
      <c r="A35" s="131" t="s">
        <v>35</v>
      </c>
      <c r="B35" s="132" t="s">
        <v>36</v>
      </c>
    </row>
    <row r="36" spans="1:2" x14ac:dyDescent="0.35">
      <c r="A36" s="135" t="s">
        <v>37</v>
      </c>
      <c r="B36" s="132"/>
    </row>
    <row r="37" spans="1:2" x14ac:dyDescent="0.35">
      <c r="A37" s="131" t="s">
        <v>38</v>
      </c>
      <c r="B37" s="132"/>
    </row>
    <row r="38" spans="1:2" x14ac:dyDescent="0.35">
      <c r="A38" s="131" t="s">
        <v>39</v>
      </c>
      <c r="B38" s="132"/>
    </row>
    <row r="39" spans="1:2" x14ac:dyDescent="0.35">
      <c r="A39" s="131" t="s">
        <v>40</v>
      </c>
      <c r="B39" s="132" t="s">
        <v>701</v>
      </c>
    </row>
    <row r="40" spans="1:2" x14ac:dyDescent="0.35">
      <c r="A40" s="138" t="s">
        <v>41</v>
      </c>
      <c r="B40" s="147"/>
    </row>
    <row r="41" spans="1:2" x14ac:dyDescent="0.35">
      <c r="A41" s="138" t="s">
        <v>42</v>
      </c>
      <c r="B41" s="149" t="e">
        <f>AVERAGE('QuantificationFluo Results'!C2:N9)</f>
        <v>#DIV/0!</v>
      </c>
    </row>
    <row r="42" spans="1:2" x14ac:dyDescent="0.35">
      <c r="A42" s="138" t="s">
        <v>43</v>
      </c>
      <c r="B42" s="150" t="e">
        <f>'QuantificationFluo Results'!B23</f>
        <v>#DIV/0!</v>
      </c>
    </row>
    <row r="43" spans="1:2" x14ac:dyDescent="0.35">
      <c r="A43" s="138" t="s">
        <v>44</v>
      </c>
      <c r="B43" s="150" t="e">
        <f>'QuantificationFluo Results'!B25</f>
        <v>#DIV/0!</v>
      </c>
    </row>
    <row r="44" spans="1:2" x14ac:dyDescent="0.35">
      <c r="A44" s="138" t="s">
        <v>45</v>
      </c>
      <c r="B44" s="150" t="e">
        <f>'QuantificationFluo Results'!B26</f>
        <v>#DIV/0!</v>
      </c>
    </row>
    <row r="45" spans="1:2" x14ac:dyDescent="0.35">
      <c r="A45" s="138" t="s">
        <v>46</v>
      </c>
      <c r="B45" s="150" t="e">
        <f>'QuantificationFluo Results'!B24</f>
        <v>#DIV/0!</v>
      </c>
    </row>
    <row r="46" spans="1:2" x14ac:dyDescent="0.35">
      <c r="A46" s="139" t="s">
        <v>47</v>
      </c>
      <c r="B46" s="151"/>
    </row>
    <row r="47" spans="1:2" x14ac:dyDescent="0.35">
      <c r="A47" s="139" t="s">
        <v>42</v>
      </c>
      <c r="B47" s="158" t="e">
        <f>AVERAGE('UV quantification'!B26:M33)</f>
        <v>#DIV/0!</v>
      </c>
    </row>
    <row r="48" spans="1:2" x14ac:dyDescent="0.35">
      <c r="A48" s="139" t="s">
        <v>43</v>
      </c>
      <c r="B48" s="152" t="e">
        <f>'UV quantification'!C46</f>
        <v>#DIV/0!</v>
      </c>
    </row>
    <row r="49" spans="1:2" x14ac:dyDescent="0.35">
      <c r="A49" s="139" t="s">
        <v>44</v>
      </c>
      <c r="B49" s="152" t="e">
        <f>'UV quantification'!C48</f>
        <v>#DIV/0!</v>
      </c>
    </row>
    <row r="50" spans="1:2" x14ac:dyDescent="0.35">
      <c r="A50" s="139" t="s">
        <v>45</v>
      </c>
      <c r="B50" s="152" t="e">
        <f>'UV quantification'!C49</f>
        <v>#DIV/0!</v>
      </c>
    </row>
    <row r="51" spans="1:2" x14ac:dyDescent="0.35">
      <c r="A51" s="139" t="s">
        <v>46</v>
      </c>
      <c r="B51" s="152" t="e">
        <f>'UV quantification'!C47</f>
        <v>#DIV/0!</v>
      </c>
    </row>
    <row r="53" spans="1:2" x14ac:dyDescent="0.35">
      <c r="A53" s="135" t="s">
        <v>48</v>
      </c>
      <c r="B53" s="132"/>
    </row>
    <row r="54" spans="1:2" x14ac:dyDescent="0.35">
      <c r="A54" s="131" t="s">
        <v>49</v>
      </c>
      <c r="B54" s="132"/>
    </row>
    <row r="55" spans="1:2" x14ac:dyDescent="0.35">
      <c r="A55" s="131" t="s">
        <v>50</v>
      </c>
      <c r="B55" s="132"/>
    </row>
    <row r="56" spans="1:2" x14ac:dyDescent="0.35">
      <c r="A56" s="131" t="s">
        <v>51</v>
      </c>
      <c r="B56" s="132"/>
    </row>
    <row r="57" spans="1:2" x14ac:dyDescent="0.35">
      <c r="A57" s="131" t="s">
        <v>52</v>
      </c>
      <c r="B57" s="132"/>
    </row>
    <row r="59" spans="1:2" x14ac:dyDescent="0.35">
      <c r="A59" s="163" t="s">
        <v>53</v>
      </c>
      <c r="B59" s="19">
        <v>0.22</v>
      </c>
    </row>
    <row r="60" spans="1:2" x14ac:dyDescent="0.35">
      <c r="A60" s="164" t="s">
        <v>54</v>
      </c>
      <c r="B60" s="19">
        <v>0.2</v>
      </c>
    </row>
    <row r="61" spans="1:2" x14ac:dyDescent="0.35">
      <c r="A61" s="164" t="s">
        <v>55</v>
      </c>
      <c r="B61" s="19">
        <v>0.12</v>
      </c>
    </row>
    <row r="62" spans="1:2" x14ac:dyDescent="0.35">
      <c r="A62" s="164" t="s">
        <v>56</v>
      </c>
      <c r="B62" s="19">
        <v>0.105</v>
      </c>
    </row>
  </sheetData>
  <dataValidations count="3">
    <dataValidation showInputMessage="1" showErrorMessage="1" sqref="B5 B2:B3" xr:uid="{00000000-0002-0000-0000-000000000000}"/>
    <dataValidation type="list" showInputMessage="1" showErrorMessage="1" sqref="B35" xr:uid="{00000000-0002-0000-0000-000001000000}">
      <formula1>#REF!</formula1>
    </dataValidation>
    <dataValidation type="list" showInputMessage="1" showErrorMessage="1" sqref="B37:B38" xr:uid="{00000000-0002-0000-0000-000002000000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M45"/>
  <sheetViews>
    <sheetView topLeftCell="A7" zoomScaleNormal="100" workbookViewId="0">
      <selection activeCell="R26" sqref="R26"/>
    </sheetView>
  </sheetViews>
  <sheetFormatPr baseColWidth="10" defaultColWidth="9.1796875" defaultRowHeight="12" x14ac:dyDescent="0.3"/>
  <cols>
    <col min="1" max="1" width="10.81640625" style="17" customWidth="1"/>
    <col min="2" max="2" width="13" style="17" customWidth="1"/>
    <col min="3" max="3" width="13.81640625" style="17" customWidth="1"/>
    <col min="4" max="4" width="12.453125" style="17" customWidth="1"/>
    <col min="5" max="5" width="12.1796875" style="17" customWidth="1"/>
    <col min="6" max="6" width="16.54296875" style="17" customWidth="1"/>
    <col min="7" max="7" width="14.54296875" style="17" customWidth="1"/>
    <col min="8" max="8" width="9.453125" style="17" customWidth="1"/>
    <col min="9" max="9" width="9.1796875" style="17" customWidth="1"/>
    <col min="10" max="16384" width="9.1796875" style="17"/>
  </cols>
  <sheetData>
    <row r="1" spans="1:13" ht="14.5" customHeight="1" x14ac:dyDescent="0.3">
      <c r="A1" s="267" t="s">
        <v>57</v>
      </c>
      <c r="B1" s="268"/>
      <c r="C1" s="268"/>
      <c r="D1" s="268"/>
      <c r="E1" s="268"/>
      <c r="F1" s="268"/>
      <c r="G1" s="268"/>
      <c r="H1" s="268"/>
      <c r="I1" s="269"/>
    </row>
    <row r="2" spans="1:13" ht="33" customHeight="1" thickBot="1" x14ac:dyDescent="0.35">
      <c r="A2" s="270"/>
      <c r="B2" s="271"/>
      <c r="C2" s="271"/>
      <c r="D2" s="271"/>
      <c r="E2" s="271"/>
      <c r="F2" s="271"/>
      <c r="G2" s="271"/>
      <c r="H2" s="271"/>
      <c r="I2" s="272"/>
    </row>
    <row r="3" spans="1:13" ht="15.75" customHeight="1" x14ac:dyDescent="0.3">
      <c r="A3" s="18"/>
      <c r="B3" s="18"/>
      <c r="C3" s="18"/>
      <c r="D3" s="18"/>
      <c r="E3" s="18"/>
      <c r="F3" s="18"/>
      <c r="G3" s="18"/>
      <c r="H3" s="18"/>
      <c r="I3" s="18"/>
    </row>
    <row r="4" spans="1:13" ht="13.5" customHeight="1" x14ac:dyDescent="0.3">
      <c r="A4" s="18"/>
      <c r="B4" s="18"/>
      <c r="C4" s="18"/>
      <c r="D4" s="18"/>
      <c r="E4" s="18"/>
      <c r="F4" s="18"/>
      <c r="G4" s="18"/>
      <c r="H4" s="18"/>
      <c r="I4" s="18"/>
    </row>
    <row r="5" spans="1:13" ht="12.75" customHeight="1" x14ac:dyDescent="0.3">
      <c r="A5" s="18"/>
      <c r="B5" s="19"/>
      <c r="C5" s="18"/>
      <c r="D5" s="18"/>
      <c r="E5" s="18"/>
      <c r="F5" s="18"/>
      <c r="G5" s="18"/>
      <c r="H5" s="18"/>
      <c r="I5" s="18"/>
    </row>
    <row r="6" spans="1:13" ht="14.5" customHeight="1" x14ac:dyDescent="0.3"/>
    <row r="7" spans="1:13" ht="14.5" customHeight="1" x14ac:dyDescent="0.35">
      <c r="A7" s="3" t="s">
        <v>58</v>
      </c>
      <c r="B7" s="3">
        <v>1</v>
      </c>
      <c r="C7" s="3">
        <v>2</v>
      </c>
      <c r="D7" s="3">
        <v>3</v>
      </c>
      <c r="E7" s="3">
        <v>4</v>
      </c>
      <c r="F7" s="3">
        <v>5</v>
      </c>
      <c r="G7" s="3">
        <v>6</v>
      </c>
      <c r="H7" s="3">
        <v>7</v>
      </c>
      <c r="I7" s="3">
        <v>8</v>
      </c>
      <c r="J7" s="3">
        <v>9</v>
      </c>
      <c r="K7" s="3">
        <v>10</v>
      </c>
      <c r="L7" s="3">
        <v>11</v>
      </c>
      <c r="M7" s="3">
        <v>12</v>
      </c>
    </row>
    <row r="8" spans="1:13" ht="14.5" customHeight="1" x14ac:dyDescent="0.35">
      <c r="A8" s="2" t="s">
        <v>59</v>
      </c>
      <c r="B8" s="160" t="s">
        <v>60</v>
      </c>
      <c r="C8" s="160" t="s">
        <v>61</v>
      </c>
      <c r="D8" s="160" t="s">
        <v>62</v>
      </c>
      <c r="E8" s="160" t="s">
        <v>63</v>
      </c>
      <c r="F8" s="160" t="s">
        <v>64</v>
      </c>
      <c r="G8" s="160" t="s">
        <v>65</v>
      </c>
      <c r="H8" s="160" t="s">
        <v>66</v>
      </c>
      <c r="I8" s="160" t="s">
        <v>67</v>
      </c>
      <c r="J8" s="160" t="s">
        <v>68</v>
      </c>
      <c r="K8" s="160" t="s">
        <v>69</v>
      </c>
      <c r="L8" s="160" t="s">
        <v>70</v>
      </c>
      <c r="M8" s="160" t="s">
        <v>71</v>
      </c>
    </row>
    <row r="9" spans="1:13" ht="14.5" customHeight="1" x14ac:dyDescent="0.35">
      <c r="A9" s="2" t="s">
        <v>72</v>
      </c>
      <c r="B9" s="160" t="s">
        <v>73</v>
      </c>
      <c r="C9" s="160" t="s">
        <v>74</v>
      </c>
      <c r="D9" s="160" t="s">
        <v>75</v>
      </c>
      <c r="E9" s="160" t="s">
        <v>76</v>
      </c>
      <c r="F9" s="160" t="s">
        <v>77</v>
      </c>
      <c r="G9" s="160" t="s">
        <v>78</v>
      </c>
      <c r="H9" s="160" t="s">
        <v>79</v>
      </c>
      <c r="I9" s="160" t="s">
        <v>80</v>
      </c>
      <c r="J9" s="160" t="s">
        <v>81</v>
      </c>
      <c r="K9" s="160" t="s">
        <v>82</v>
      </c>
      <c r="L9" s="160" t="s">
        <v>83</v>
      </c>
      <c r="M9" s="160" t="s">
        <v>84</v>
      </c>
    </row>
    <row r="10" spans="1:13" ht="14.5" customHeight="1" x14ac:dyDescent="0.35">
      <c r="A10" s="2" t="s">
        <v>85</v>
      </c>
      <c r="B10" s="160" t="s">
        <v>86</v>
      </c>
      <c r="C10" s="160" t="s">
        <v>87</v>
      </c>
      <c r="D10" s="160" t="s">
        <v>88</v>
      </c>
      <c r="E10" s="160" t="s">
        <v>89</v>
      </c>
      <c r="F10" s="160" t="s">
        <v>90</v>
      </c>
      <c r="G10" s="160" t="s">
        <v>91</v>
      </c>
      <c r="H10" s="160" t="s">
        <v>92</v>
      </c>
      <c r="I10" s="160" t="s">
        <v>93</v>
      </c>
      <c r="J10" s="160" t="s">
        <v>94</v>
      </c>
      <c r="K10" s="160" t="s">
        <v>95</v>
      </c>
      <c r="L10" s="160" t="s">
        <v>96</v>
      </c>
      <c r="M10" s="160" t="s">
        <v>97</v>
      </c>
    </row>
    <row r="11" spans="1:13" ht="14.5" customHeight="1" x14ac:dyDescent="0.35">
      <c r="A11" s="2" t="s">
        <v>98</v>
      </c>
      <c r="B11" s="160" t="s">
        <v>99</v>
      </c>
      <c r="C11" s="160" t="s">
        <v>100</v>
      </c>
      <c r="D11" s="160" t="s">
        <v>101</v>
      </c>
      <c r="E11" s="160" t="s">
        <v>102</v>
      </c>
      <c r="F11" s="160" t="s">
        <v>103</v>
      </c>
      <c r="G11" s="160" t="s">
        <v>104</v>
      </c>
      <c r="H11" s="160" t="s">
        <v>105</v>
      </c>
      <c r="I11" s="160" t="s">
        <v>106</v>
      </c>
      <c r="J11" s="160" t="s">
        <v>107</v>
      </c>
      <c r="K11" s="160" t="s">
        <v>108</v>
      </c>
      <c r="L11" s="160" t="s">
        <v>109</v>
      </c>
      <c r="M11" s="160" t="s">
        <v>110</v>
      </c>
    </row>
    <row r="12" spans="1:13" ht="14.5" customHeight="1" x14ac:dyDescent="0.35">
      <c r="A12" s="2" t="s">
        <v>111</v>
      </c>
      <c r="B12" s="160" t="s">
        <v>112</v>
      </c>
      <c r="C12" s="160" t="s">
        <v>113</v>
      </c>
      <c r="D12" s="160" t="s">
        <v>114</v>
      </c>
      <c r="E12" s="160" t="s">
        <v>115</v>
      </c>
      <c r="F12" s="160" t="s">
        <v>116</v>
      </c>
      <c r="G12" s="160" t="s">
        <v>117</v>
      </c>
      <c r="H12" s="160" t="s">
        <v>118</v>
      </c>
      <c r="I12" s="160" t="s">
        <v>119</v>
      </c>
      <c r="J12" s="160" t="s">
        <v>120</v>
      </c>
      <c r="K12" s="160" t="s">
        <v>121</v>
      </c>
      <c r="L12" s="160" t="s">
        <v>122</v>
      </c>
      <c r="M12" s="160" t="s">
        <v>123</v>
      </c>
    </row>
    <row r="13" spans="1:13" ht="14.5" customHeight="1" x14ac:dyDescent="0.35">
      <c r="A13" s="2" t="s">
        <v>124</v>
      </c>
      <c r="B13" s="160" t="s">
        <v>125</v>
      </c>
      <c r="C13" s="160" t="s">
        <v>126</v>
      </c>
      <c r="D13" s="160" t="s">
        <v>127</v>
      </c>
      <c r="E13" s="160" t="s">
        <v>128</v>
      </c>
      <c r="F13" s="160" t="s">
        <v>129</v>
      </c>
      <c r="G13" s="160" t="s">
        <v>130</v>
      </c>
      <c r="H13" s="160" t="s">
        <v>131</v>
      </c>
      <c r="I13" s="160" t="s">
        <v>132</v>
      </c>
      <c r="J13" s="160" t="s">
        <v>133</v>
      </c>
      <c r="K13" s="160" t="s">
        <v>134</v>
      </c>
      <c r="L13" s="160" t="s">
        <v>135</v>
      </c>
      <c r="M13" s="160" t="s">
        <v>136</v>
      </c>
    </row>
    <row r="14" spans="1:13" ht="14.5" customHeight="1" x14ac:dyDescent="0.35">
      <c r="A14" s="2" t="s">
        <v>137</v>
      </c>
      <c r="B14" s="160" t="s">
        <v>138</v>
      </c>
      <c r="C14" s="160" t="s">
        <v>139</v>
      </c>
      <c r="D14" s="160" t="s">
        <v>140</v>
      </c>
      <c r="E14" s="160" t="s">
        <v>141</v>
      </c>
      <c r="F14" s="160" t="s">
        <v>142</v>
      </c>
      <c r="G14" s="160" t="s">
        <v>143</v>
      </c>
      <c r="H14" s="160" t="s">
        <v>144</v>
      </c>
      <c r="I14" s="160" t="s">
        <v>145</v>
      </c>
      <c r="J14" s="160" t="s">
        <v>146</v>
      </c>
      <c r="K14" s="160" t="s">
        <v>147</v>
      </c>
      <c r="L14" s="160" t="s">
        <v>148</v>
      </c>
      <c r="M14" s="160" t="s">
        <v>149</v>
      </c>
    </row>
    <row r="15" spans="1:13" ht="14.5" customHeight="1" x14ac:dyDescent="0.35">
      <c r="A15" s="2" t="s">
        <v>150</v>
      </c>
      <c r="B15" s="160" t="s">
        <v>151</v>
      </c>
      <c r="C15" s="160" t="s">
        <v>152</v>
      </c>
      <c r="D15" s="160" t="s">
        <v>153</v>
      </c>
      <c r="E15" s="160" t="s">
        <v>154</v>
      </c>
      <c r="F15" s="160" t="s">
        <v>155</v>
      </c>
      <c r="G15" s="160" t="s">
        <v>156</v>
      </c>
      <c r="H15" s="160" t="s">
        <v>157</v>
      </c>
      <c r="I15" s="160" t="s">
        <v>158</v>
      </c>
      <c r="J15" s="160" t="s">
        <v>159</v>
      </c>
      <c r="K15" s="160" t="s">
        <v>160</v>
      </c>
      <c r="L15" s="160" t="s">
        <v>161</v>
      </c>
      <c r="M15" s="160" t="s">
        <v>162</v>
      </c>
    </row>
    <row r="16" spans="1:13" ht="14.5" customHeight="1" x14ac:dyDescent="0.3"/>
    <row r="17" spans="1:13" ht="14.5" customHeight="1" x14ac:dyDescent="0.3"/>
    <row r="18" spans="1:13" ht="15" customHeight="1" thickBot="1" x14ac:dyDescent="0.4">
      <c r="A18" s="3" t="s">
        <v>163</v>
      </c>
      <c r="B18" s="3">
        <v>1</v>
      </c>
      <c r="C18" s="3">
        <v>2</v>
      </c>
      <c r="D18" s="3">
        <v>3</v>
      </c>
      <c r="E18" s="3">
        <v>4</v>
      </c>
      <c r="F18" s="3">
        <v>5</v>
      </c>
      <c r="G18" s="3">
        <v>6</v>
      </c>
      <c r="H18" s="3">
        <v>7</v>
      </c>
      <c r="I18" s="3">
        <v>8</v>
      </c>
      <c r="J18" s="3">
        <v>9</v>
      </c>
      <c r="K18" s="3">
        <v>10</v>
      </c>
      <c r="L18" s="3">
        <v>11</v>
      </c>
      <c r="M18" s="3">
        <v>12</v>
      </c>
    </row>
    <row r="19" spans="1:13" ht="14.5" customHeight="1" x14ac:dyDescent="0.35">
      <c r="A19" s="2" t="s">
        <v>59</v>
      </c>
      <c r="B19" s="190" t="s">
        <v>164</v>
      </c>
      <c r="C19" s="191" t="s">
        <v>165</v>
      </c>
      <c r="D19" s="191" t="s">
        <v>166</v>
      </c>
      <c r="E19" s="191" t="s">
        <v>167</v>
      </c>
      <c r="F19" s="191" t="s">
        <v>168</v>
      </c>
      <c r="G19" s="191" t="s">
        <v>169</v>
      </c>
      <c r="H19" s="191" t="s">
        <v>170</v>
      </c>
      <c r="I19" s="191" t="s">
        <v>171</v>
      </c>
      <c r="J19" s="191" t="s">
        <v>172</v>
      </c>
      <c r="K19" s="191" t="s">
        <v>173</v>
      </c>
      <c r="L19" s="191" t="s">
        <v>174</v>
      </c>
      <c r="M19" s="192" t="s">
        <v>175</v>
      </c>
    </row>
    <row r="20" spans="1:13" ht="14.5" customHeight="1" x14ac:dyDescent="0.35">
      <c r="A20" s="2" t="s">
        <v>72</v>
      </c>
      <c r="B20" s="193" t="s">
        <v>176</v>
      </c>
      <c r="C20" s="194" t="s">
        <v>177</v>
      </c>
      <c r="D20" s="194" t="s">
        <v>178</v>
      </c>
      <c r="E20" s="194" t="s">
        <v>179</v>
      </c>
      <c r="F20" s="194" t="s">
        <v>180</v>
      </c>
      <c r="G20" s="194" t="s">
        <v>181</v>
      </c>
      <c r="H20" s="194" t="s">
        <v>182</v>
      </c>
      <c r="I20" s="194" t="s">
        <v>183</v>
      </c>
      <c r="J20" s="194" t="s">
        <v>184</v>
      </c>
      <c r="K20" s="194" t="s">
        <v>185</v>
      </c>
      <c r="L20" s="194" t="s">
        <v>186</v>
      </c>
      <c r="M20" s="195" t="s">
        <v>187</v>
      </c>
    </row>
    <row r="21" spans="1:13" ht="14.5" customHeight="1" x14ac:dyDescent="0.35">
      <c r="A21" s="2" t="s">
        <v>85</v>
      </c>
      <c r="B21" s="193" t="s">
        <v>188</v>
      </c>
      <c r="C21" s="194" t="s">
        <v>189</v>
      </c>
      <c r="D21" s="194" t="s">
        <v>190</v>
      </c>
      <c r="E21" s="194" t="s">
        <v>191</v>
      </c>
      <c r="F21" s="194" t="s">
        <v>192</v>
      </c>
      <c r="G21" s="194" t="s">
        <v>193</v>
      </c>
      <c r="H21" s="194" t="s">
        <v>194</v>
      </c>
      <c r="I21" s="194" t="s">
        <v>195</v>
      </c>
      <c r="J21" s="194" t="s">
        <v>196</v>
      </c>
      <c r="K21" s="194" t="s">
        <v>197</v>
      </c>
      <c r="L21" s="194" t="s">
        <v>198</v>
      </c>
      <c r="M21" s="195" t="s">
        <v>199</v>
      </c>
    </row>
    <row r="22" spans="1:13" ht="14.5" customHeight="1" x14ac:dyDescent="0.35">
      <c r="A22" s="2" t="s">
        <v>98</v>
      </c>
      <c r="B22" s="193" t="s">
        <v>200</v>
      </c>
      <c r="C22" s="194" t="s">
        <v>201</v>
      </c>
      <c r="D22" s="194" t="s">
        <v>202</v>
      </c>
      <c r="E22" s="194" t="s">
        <v>203</v>
      </c>
      <c r="F22" s="194" t="s">
        <v>204</v>
      </c>
      <c r="G22" s="194" t="s">
        <v>205</v>
      </c>
      <c r="H22" s="194" t="s">
        <v>206</v>
      </c>
      <c r="I22" s="194" t="s">
        <v>207</v>
      </c>
      <c r="J22" s="194" t="s">
        <v>208</v>
      </c>
      <c r="K22" s="194" t="s">
        <v>209</v>
      </c>
      <c r="L22" s="194" t="s">
        <v>210</v>
      </c>
      <c r="M22" s="195" t="s">
        <v>211</v>
      </c>
    </row>
    <row r="23" spans="1:13" ht="14.5" customHeight="1" x14ac:dyDescent="0.35">
      <c r="A23" s="2" t="s">
        <v>111</v>
      </c>
      <c r="B23" s="193" t="s">
        <v>212</v>
      </c>
      <c r="C23" s="194" t="s">
        <v>213</v>
      </c>
      <c r="D23" s="194" t="s">
        <v>214</v>
      </c>
      <c r="E23" s="194" t="s">
        <v>215</v>
      </c>
      <c r="F23" s="194" t="s">
        <v>216</v>
      </c>
      <c r="G23" s="194" t="s">
        <v>217</v>
      </c>
      <c r="H23" s="194" t="s">
        <v>218</v>
      </c>
      <c r="I23" s="194" t="s">
        <v>219</v>
      </c>
      <c r="J23" s="194" t="s">
        <v>220</v>
      </c>
      <c r="K23" s="194" t="s">
        <v>221</v>
      </c>
      <c r="L23" s="194" t="s">
        <v>222</v>
      </c>
      <c r="M23" s="195" t="s">
        <v>223</v>
      </c>
    </row>
    <row r="24" spans="1:13" ht="14.5" customHeight="1" x14ac:dyDescent="0.35">
      <c r="A24" s="2" t="s">
        <v>124</v>
      </c>
      <c r="B24" s="193" t="s">
        <v>224</v>
      </c>
      <c r="C24" s="194" t="s">
        <v>225</v>
      </c>
      <c r="D24" s="194" t="s">
        <v>226</v>
      </c>
      <c r="E24" s="194" t="s">
        <v>227</v>
      </c>
      <c r="F24" s="194" t="s">
        <v>228</v>
      </c>
      <c r="G24" s="194" t="s">
        <v>229</v>
      </c>
      <c r="H24" s="194" t="s">
        <v>230</v>
      </c>
      <c r="I24" s="194" t="s">
        <v>231</v>
      </c>
      <c r="J24" s="194" t="s">
        <v>232</v>
      </c>
      <c r="K24" s="194" t="s">
        <v>233</v>
      </c>
      <c r="L24" s="194" t="s">
        <v>234</v>
      </c>
      <c r="M24" s="195" t="s">
        <v>235</v>
      </c>
    </row>
    <row r="25" spans="1:13" ht="14.5" customHeight="1" x14ac:dyDescent="0.35">
      <c r="A25" s="2" t="s">
        <v>137</v>
      </c>
      <c r="B25" s="193" t="s">
        <v>236</v>
      </c>
      <c r="C25" s="194" t="s">
        <v>237</v>
      </c>
      <c r="D25" s="194" t="s">
        <v>238</v>
      </c>
      <c r="E25" s="194" t="s">
        <v>239</v>
      </c>
      <c r="F25" s="194" t="s">
        <v>240</v>
      </c>
      <c r="G25" s="194" t="s">
        <v>241</v>
      </c>
      <c r="H25" s="194" t="s">
        <v>242</v>
      </c>
      <c r="I25" s="194" t="s">
        <v>243</v>
      </c>
      <c r="J25" s="194" t="s">
        <v>244</v>
      </c>
      <c r="K25" s="194" t="s">
        <v>245</v>
      </c>
      <c r="L25" s="194" t="s">
        <v>246</v>
      </c>
      <c r="M25" s="195" t="s">
        <v>247</v>
      </c>
    </row>
    <row r="26" spans="1:13" ht="15" customHeight="1" thickBot="1" x14ac:dyDescent="0.4">
      <c r="A26" s="2" t="s">
        <v>150</v>
      </c>
      <c r="B26" s="196" t="s">
        <v>248</v>
      </c>
      <c r="C26" s="197" t="s">
        <v>249</v>
      </c>
      <c r="D26" s="197" t="s">
        <v>250</v>
      </c>
      <c r="E26" s="197" t="s">
        <v>251</v>
      </c>
      <c r="F26" s="197" t="s">
        <v>252</v>
      </c>
      <c r="G26" s="197" t="s">
        <v>253</v>
      </c>
      <c r="H26" s="197" t="s">
        <v>254</v>
      </c>
      <c r="I26" s="197" t="s">
        <v>255</v>
      </c>
      <c r="J26" s="197" t="s">
        <v>256</v>
      </c>
      <c r="K26" s="197" t="s">
        <v>257</v>
      </c>
      <c r="L26" s="197" t="s">
        <v>258</v>
      </c>
      <c r="M26" s="198" t="s">
        <v>259</v>
      </c>
    </row>
    <row r="27" spans="1:13" ht="14.5" customHeight="1" x14ac:dyDescent="0.3"/>
    <row r="28" spans="1:13" ht="14.5" customHeight="1" x14ac:dyDescent="0.3"/>
    <row r="29" spans="1:13" ht="14.5" customHeight="1" x14ac:dyDescent="0.35">
      <c r="A29" s="273" t="s">
        <v>260</v>
      </c>
      <c r="B29" s="274"/>
      <c r="C29" s="274"/>
      <c r="D29" s="274"/>
      <c r="E29" s="274"/>
      <c r="F29" s="274"/>
      <c r="G29" s="274"/>
      <c r="H29" s="274"/>
      <c r="I29" s="274"/>
      <c r="J29" s="274"/>
    </row>
    <row r="30" spans="1:13" ht="14.5" customHeight="1" x14ac:dyDescent="0.3"/>
    <row r="31" spans="1:13" ht="14.5" customHeight="1" x14ac:dyDescent="0.3"/>
    <row r="32" spans="1:13" ht="15" customHeight="1" thickBot="1" x14ac:dyDescent="0.4">
      <c r="A32" s="20" t="s">
        <v>261</v>
      </c>
      <c r="B32" s="20" t="s">
        <v>262</v>
      </c>
      <c r="C32" s="20"/>
      <c r="D32" s="20" t="s">
        <v>263</v>
      </c>
      <c r="E32" s="20" t="s">
        <v>264</v>
      </c>
      <c r="F32" s="28"/>
      <c r="G32" s="29"/>
      <c r="H32" s="29"/>
      <c r="I32" s="29"/>
      <c r="J32" s="30"/>
    </row>
    <row r="33" spans="1:10" ht="15" customHeight="1" thickBot="1" x14ac:dyDescent="0.4">
      <c r="A33" s="21" t="s">
        <v>265</v>
      </c>
      <c r="B33" s="263" t="s">
        <v>266</v>
      </c>
      <c r="C33" s="264"/>
      <c r="D33" s="32">
        <v>25</v>
      </c>
      <c r="E33" s="262" t="s">
        <v>267</v>
      </c>
      <c r="F33" s="275"/>
      <c r="G33" s="275"/>
      <c r="H33" s="275"/>
      <c r="I33" s="275"/>
      <c r="J33" s="261"/>
    </row>
    <row r="34" spans="1:10" ht="14.5" customHeight="1" x14ac:dyDescent="0.35">
      <c r="A34" s="160"/>
      <c r="B34" s="260" t="s">
        <v>268</v>
      </c>
      <c r="C34" s="261"/>
      <c r="D34" s="32">
        <v>25</v>
      </c>
      <c r="E34" s="265" t="s">
        <v>267</v>
      </c>
      <c r="F34" s="276"/>
      <c r="G34" s="276"/>
      <c r="H34" s="276"/>
      <c r="I34" s="276"/>
      <c r="J34" s="266"/>
    </row>
    <row r="35" spans="1:10" ht="14.5" customHeight="1" x14ac:dyDescent="0.35">
      <c r="A35" s="160"/>
      <c r="B35" s="265" t="s">
        <v>269</v>
      </c>
      <c r="C35" s="266"/>
      <c r="D35" s="32">
        <v>50</v>
      </c>
      <c r="E35" s="265" t="s">
        <v>267</v>
      </c>
      <c r="F35" s="276"/>
      <c r="G35" s="276"/>
      <c r="H35" s="276"/>
      <c r="I35" s="276"/>
      <c r="J35" s="266"/>
    </row>
    <row r="36" spans="1:10" ht="14.5" customHeight="1" x14ac:dyDescent="0.35">
      <c r="A36" s="160"/>
      <c r="B36" s="265" t="s">
        <v>270</v>
      </c>
      <c r="C36" s="266"/>
      <c r="D36" s="32">
        <v>50</v>
      </c>
      <c r="E36" s="265" t="s">
        <v>267</v>
      </c>
      <c r="F36" s="276"/>
      <c r="G36" s="276"/>
      <c r="H36" s="276"/>
      <c r="I36" s="276"/>
      <c r="J36" s="266"/>
    </row>
    <row r="37" spans="1:10" ht="15" customHeight="1" thickBot="1" x14ac:dyDescent="0.4">
      <c r="A37" s="160"/>
      <c r="B37" s="277" t="s">
        <v>271</v>
      </c>
      <c r="C37" s="279"/>
      <c r="D37" s="32">
        <v>50</v>
      </c>
      <c r="E37" s="277" t="s">
        <v>267</v>
      </c>
      <c r="F37" s="278"/>
      <c r="G37" s="278"/>
      <c r="H37" s="278"/>
      <c r="I37" s="278"/>
      <c r="J37" s="279"/>
    </row>
    <row r="38" spans="1:10" ht="14.5" customHeight="1" x14ac:dyDescent="0.35">
      <c r="A38" s="31" t="s">
        <v>272</v>
      </c>
      <c r="B38" s="262" t="s">
        <v>273</v>
      </c>
      <c r="C38" s="261"/>
      <c r="D38" s="159">
        <f>4*60</f>
        <v>240</v>
      </c>
      <c r="E38" s="262" t="s">
        <v>274</v>
      </c>
      <c r="F38" s="275"/>
      <c r="G38" s="275"/>
      <c r="H38" s="275"/>
      <c r="I38" s="275"/>
      <c r="J38" s="261"/>
    </row>
    <row r="39" spans="1:10" ht="14.5" customHeight="1" x14ac:dyDescent="0.35">
      <c r="A39" s="160"/>
      <c r="B39" s="265" t="s">
        <v>275</v>
      </c>
      <c r="C39" s="266"/>
      <c r="D39" s="160">
        <v>25</v>
      </c>
      <c r="E39" s="265" t="s">
        <v>276</v>
      </c>
      <c r="F39" s="276"/>
      <c r="G39" s="276"/>
      <c r="H39" s="276"/>
      <c r="I39" s="276"/>
      <c r="J39" s="266"/>
    </row>
    <row r="40" spans="1:10" ht="14.5" customHeight="1" x14ac:dyDescent="0.35">
      <c r="A40" s="160"/>
      <c r="B40" s="265" t="s">
        <v>277</v>
      </c>
      <c r="C40" s="266"/>
      <c r="D40" s="160">
        <v>20</v>
      </c>
      <c r="E40" s="265" t="s">
        <v>274</v>
      </c>
      <c r="F40" s="276"/>
      <c r="G40" s="276"/>
      <c r="H40" s="276"/>
      <c r="I40" s="276"/>
      <c r="J40" s="266"/>
    </row>
    <row r="41" spans="1:10" ht="14.5" customHeight="1" x14ac:dyDescent="0.35">
      <c r="A41" s="22"/>
      <c r="B41" s="265" t="s">
        <v>278</v>
      </c>
      <c r="C41" s="266"/>
      <c r="D41" s="23">
        <v>30</v>
      </c>
      <c r="E41" s="265" t="s">
        <v>274</v>
      </c>
      <c r="F41" s="276"/>
      <c r="G41" s="276"/>
      <c r="H41" s="276"/>
      <c r="I41" s="276"/>
      <c r="J41" s="266"/>
    </row>
    <row r="42" spans="1:10" ht="14.5" customHeight="1" x14ac:dyDescent="0.3"/>
    <row r="43" spans="1:10" ht="14.5" customHeight="1" x14ac:dyDescent="0.3"/>
    <row r="44" spans="1:10" ht="14.5" customHeight="1" x14ac:dyDescent="0.3"/>
    <row r="45" spans="1:10" ht="14.5" customHeight="1" x14ac:dyDescent="0.3"/>
  </sheetData>
  <mergeCells count="20">
    <mergeCell ref="B41:C41"/>
    <mergeCell ref="E41:J41"/>
    <mergeCell ref="E35:J35"/>
    <mergeCell ref="E36:J36"/>
    <mergeCell ref="E37:J37"/>
    <mergeCell ref="B39:C39"/>
    <mergeCell ref="B40:C40"/>
    <mergeCell ref="E38:J38"/>
    <mergeCell ref="E39:J39"/>
    <mergeCell ref="E40:J40"/>
    <mergeCell ref="B36:C36"/>
    <mergeCell ref="B37:C37"/>
    <mergeCell ref="B34:C34"/>
    <mergeCell ref="B38:C38"/>
    <mergeCell ref="B33:C33"/>
    <mergeCell ref="B35:C35"/>
    <mergeCell ref="A1:I2"/>
    <mergeCell ref="A29:J29"/>
    <mergeCell ref="E33:J33"/>
    <mergeCell ref="E34:J34"/>
  </mergeCells>
  <pageMargins left="0.7" right="0.7" top="0.75" bottom="0.75" header="0.3" footer="0.3"/>
  <pageSetup paperSize="9" scale="38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>
    <pageSetUpPr fitToPage="1"/>
  </sheetPr>
  <dimension ref="A1:L42"/>
  <sheetViews>
    <sheetView zoomScale="85" zoomScaleNormal="85" workbookViewId="0">
      <selection activeCell="D30" sqref="D30"/>
    </sheetView>
  </sheetViews>
  <sheetFormatPr baseColWidth="10" defaultColWidth="11.453125" defaultRowHeight="14.5" x14ac:dyDescent="0.35"/>
  <cols>
    <col min="1" max="1" width="13.81640625" style="200" customWidth="1"/>
    <col min="8" max="8" width="12.453125" style="200" customWidth="1"/>
    <col min="9" max="9" width="14.453125" style="200" customWidth="1"/>
    <col min="11" max="11" width="15.81640625" style="200" customWidth="1"/>
  </cols>
  <sheetData>
    <row r="1" spans="1:12" ht="18.5" customHeight="1" x14ac:dyDescent="0.45">
      <c r="A1" s="280" t="s">
        <v>279</v>
      </c>
      <c r="B1" s="281"/>
      <c r="C1" s="281"/>
      <c r="D1" s="281"/>
      <c r="F1" s="283" t="str">
        <f>General!B3&amp;"_P1_HL_"&amp;"ncov2019_Pool1"</f>
        <v>200504_P1_HL_ncov2019_Pool1</v>
      </c>
      <c r="G1" s="281"/>
      <c r="H1" s="281"/>
      <c r="I1" s="281"/>
    </row>
    <row r="2" spans="1:12" ht="15" customHeight="1" thickBot="1" x14ac:dyDescent="0.4">
      <c r="A2" s="282"/>
      <c r="B2" s="282"/>
      <c r="C2" s="282"/>
      <c r="D2" s="282"/>
      <c r="J2" s="41"/>
    </row>
    <row r="3" spans="1:12" ht="15" customHeight="1" thickTop="1" x14ac:dyDescent="0.35">
      <c r="G3" s="4" t="s">
        <v>280</v>
      </c>
      <c r="J3" s="55" t="s">
        <v>281</v>
      </c>
    </row>
    <row r="4" spans="1:12" x14ac:dyDescent="0.35">
      <c r="A4" s="4" t="s">
        <v>282</v>
      </c>
      <c r="C4" t="s">
        <v>283</v>
      </c>
      <c r="D4" t="s">
        <v>284</v>
      </c>
      <c r="H4" t="s">
        <v>285</v>
      </c>
      <c r="I4">
        <f>I7*(Syntheses!D37)*MAX('Size And Resins'!B8:M15)/1000</f>
        <v>144</v>
      </c>
      <c r="J4" s="55">
        <f>I4+150</f>
        <v>294</v>
      </c>
    </row>
    <row r="5" spans="1:12" x14ac:dyDescent="0.35">
      <c r="B5" t="s">
        <v>59</v>
      </c>
      <c r="C5">
        <f>((SUMPRODUCT(LEN(Syntheses!$B$8:$M$15)-LEN(SUBSTITUTE(Syntheses!$B$8:$M$15,"A",""))))*Syntheses!$D$33)/1000</f>
        <v>16.425000000000001</v>
      </c>
      <c r="D5">
        <f>(SUMPRODUCT(LEN(Syntheses!$B$8:$M$15)-LEN(SUBSTITUTE(Syntheses!$B$8:$M$15,"A",""))))</f>
        <v>657</v>
      </c>
      <c r="H5" t="s">
        <v>286</v>
      </c>
      <c r="I5">
        <f>I7*(Syntheses!D35+Syntheses!D36)*MAX('Size And Resins'!B8:M15)/1000</f>
        <v>288</v>
      </c>
      <c r="J5" s="55">
        <f>I5+150</f>
        <v>438</v>
      </c>
    </row>
    <row r="6" spans="1:12" x14ac:dyDescent="0.35">
      <c r="B6" t="s">
        <v>85</v>
      </c>
      <c r="C6">
        <f>((SUMPRODUCT(LEN(Syntheses!$B$8:$M$15)-LEN(SUBSTITUTE(Syntheses!$B$8:$M$15,"C",""))))*Syntheses!$D$33)/1000</f>
        <v>13.275</v>
      </c>
      <c r="D6">
        <f>(SUMPRODUCT(LEN(Syntheses!$B$8:$M$15)-LEN(SUBSTITUTE(Syntheses!$B$8:$M$15,"C",""))))</f>
        <v>531</v>
      </c>
    </row>
    <row r="7" spans="1:12" x14ac:dyDescent="0.35">
      <c r="B7" t="s">
        <v>137</v>
      </c>
      <c r="C7">
        <f>((SUMPRODUCT(LEN(Syntheses!$B$8:$M$15)-LEN(SUBSTITUTE(Syntheses!$B$8:$M$15,"G",""))))*Syntheses!$D$33)/1000</f>
        <v>12.2</v>
      </c>
      <c r="D7">
        <f>(SUMPRODUCT(LEN(Syntheses!$B$8:$M$15)-LEN(SUBSTITUTE(Syntheses!$B$8:$M$15,"G",""))))</f>
        <v>488</v>
      </c>
      <c r="G7" s="4" t="s">
        <v>12</v>
      </c>
      <c r="I7">
        <f>COUNTA(Syntheses!B8:M15)</f>
        <v>96</v>
      </c>
    </row>
    <row r="8" spans="1:12" ht="15" customHeight="1" thickBot="1" x14ac:dyDescent="0.4">
      <c r="B8" t="s">
        <v>287</v>
      </c>
      <c r="C8">
        <f>((SUMPRODUCT(LEN(Syntheses!$B$8:$M$15)-LEN(SUBSTITUTE(Syntheses!$B$8:$M$15,"T",""))))*Syntheses!$D$33)/1000</f>
        <v>16.95</v>
      </c>
      <c r="D8">
        <f>(SUMPRODUCT(LEN(Syntheses!$B$8:$M$15)-LEN(SUBSTITUTE(Syntheses!$B$8:$M$15,"T",""))))</f>
        <v>678</v>
      </c>
      <c r="K8" t="s">
        <v>288</v>
      </c>
      <c r="L8" t="s">
        <v>289</v>
      </c>
    </row>
    <row r="9" spans="1:12" x14ac:dyDescent="0.35">
      <c r="B9" t="s">
        <v>290</v>
      </c>
      <c r="C9">
        <f>((SUMPRODUCT(LEN(Syntheses!$B$8:$M$15)-LEN(SUBSTITUTE(Syntheses!$B$8:$M$15,"M",""))))*Syntheses!$D$33)/1000</f>
        <v>0</v>
      </c>
      <c r="D9">
        <f>(SUMPRODUCT(LEN(Syntheses!$B$8:$M$15)-LEN(SUBSTITUTE(Syntheses!$B$8:$M$15,"M",""))))</f>
        <v>0</v>
      </c>
      <c r="G9" s="4" t="s">
        <v>291</v>
      </c>
      <c r="H9" s="33" t="s">
        <v>292</v>
      </c>
      <c r="I9" s="34">
        <f>(I7*100*3)+1000</f>
        <v>29800</v>
      </c>
      <c r="J9" s="34" t="s">
        <v>293</v>
      </c>
      <c r="K9" s="35">
        <f>I9/10</f>
        <v>2980</v>
      </c>
      <c r="L9" s="35">
        <f>I9/10</f>
        <v>2980</v>
      </c>
    </row>
    <row r="10" spans="1:12" ht="15" customHeight="1" thickBot="1" x14ac:dyDescent="0.4">
      <c r="B10" t="s">
        <v>294</v>
      </c>
      <c r="C10">
        <f>((SUMPRODUCT(LEN(Syntheses!$B$8:$M$15)-LEN(SUBSTITUTE(Syntheses!$B$8:$M$15,"N",""))))*Syntheses!$D$33)/1000</f>
        <v>0</v>
      </c>
      <c r="D10">
        <f>(SUMPRODUCT(LEN(Syntheses!$B$8:$M$15)-LEN(SUBSTITUTE(Syntheses!$B$8:$M$15,"N",""))))</f>
        <v>0</v>
      </c>
      <c r="H10" s="36"/>
      <c r="I10" s="37"/>
      <c r="J10" s="37" t="s">
        <v>295</v>
      </c>
      <c r="K10" s="38">
        <f>I9-K9</f>
        <v>26820</v>
      </c>
      <c r="L10" s="38">
        <f>I9-K9</f>
        <v>26820</v>
      </c>
    </row>
    <row r="11" spans="1:12" x14ac:dyDescent="0.35">
      <c r="B11" t="s">
        <v>296</v>
      </c>
      <c r="C11">
        <f>((SUMPRODUCT(LEN(Syntheses!$B$8:$M$15)-LEN(SUBSTITUTE(Syntheses!$B$8:$M$15,"O",""))))*Syntheses!$D$33)/1000</f>
        <v>0</v>
      </c>
      <c r="D11">
        <f>(SUMPRODUCT(LEN(Syntheses!$B$8:$M$15)-LEN(SUBSTITUTE(Syntheses!$B$8:$M$15,"O",""))))</f>
        <v>0</v>
      </c>
      <c r="H11" s="33" t="s">
        <v>297</v>
      </c>
      <c r="I11" s="34">
        <f>(I7+4)*50</f>
        <v>5000</v>
      </c>
      <c r="J11" s="34" t="s">
        <v>293</v>
      </c>
      <c r="K11" s="35">
        <f>I11/10</f>
        <v>500</v>
      </c>
      <c r="L11" s="35">
        <f>I11/10</f>
        <v>500</v>
      </c>
    </row>
    <row r="12" spans="1:12" x14ac:dyDescent="0.35">
      <c r="B12" t="s">
        <v>298</v>
      </c>
      <c r="C12">
        <f>((SUMPRODUCT(LEN(Syntheses!$B$8:$M$15)-LEN(SUBSTITUTE(Syntheses!$B$8:$M$15,"P",""))))*Syntheses!$D$33)/1000</f>
        <v>0</v>
      </c>
      <c r="D12">
        <f>(SUMPRODUCT(LEN(Syntheses!$B$8:$M$15)-LEN(SUBSTITUTE(Syntheses!$B$8:$M$15,"P",""))))</f>
        <v>0</v>
      </c>
      <c r="H12" s="39"/>
      <c r="J12" t="s">
        <v>295</v>
      </c>
      <c r="K12" s="49">
        <f>I11-K11-K13</f>
        <v>4430</v>
      </c>
      <c r="L12" s="49">
        <f>I11-L11-L13</f>
        <v>3800</v>
      </c>
    </row>
    <row r="13" spans="1:12" ht="15" customHeight="1" thickBot="1" x14ac:dyDescent="0.4">
      <c r="H13" s="36"/>
      <c r="I13" s="37"/>
      <c r="J13" s="37" t="s">
        <v>299</v>
      </c>
      <c r="K13" s="48">
        <f>(I7+4)*0.7</f>
        <v>70</v>
      </c>
      <c r="L13" s="48">
        <f>(I7+4)*7</f>
        <v>700</v>
      </c>
    </row>
    <row r="15" spans="1:12" ht="29" customHeight="1" x14ac:dyDescent="0.35">
      <c r="A15" s="6" t="s">
        <v>300</v>
      </c>
      <c r="B15" s="6">
        <v>7000</v>
      </c>
      <c r="C15" s="7"/>
      <c r="D15" s="8" t="s">
        <v>301</v>
      </c>
      <c r="E15" s="9"/>
      <c r="F15" s="6">
        <v>0</v>
      </c>
      <c r="H15" s="46" t="s">
        <v>302</v>
      </c>
      <c r="I15" s="46">
        <v>1</v>
      </c>
    </row>
    <row r="17" spans="1:11" ht="15" customHeight="1" thickBot="1" x14ac:dyDescent="0.4">
      <c r="A17" s="10" t="s">
        <v>303</v>
      </c>
      <c r="B17" s="11" t="s">
        <v>59</v>
      </c>
      <c r="C17" s="11" t="s">
        <v>85</v>
      </c>
      <c r="D17" s="11" t="s">
        <v>137</v>
      </c>
      <c r="E17" s="11" t="s">
        <v>287</v>
      </c>
      <c r="F17" s="11" t="s">
        <v>290</v>
      </c>
      <c r="G17" s="12" t="s">
        <v>294</v>
      </c>
      <c r="H17" s="11" t="s">
        <v>296</v>
      </c>
      <c r="I17" s="12" t="s">
        <v>298</v>
      </c>
      <c r="J17" s="13" t="s">
        <v>304</v>
      </c>
      <c r="K17" s="7"/>
    </row>
    <row r="18" spans="1:11" ht="15.5" customHeight="1" thickTop="1" thickBot="1" x14ac:dyDescent="0.4">
      <c r="A18" s="14" t="s">
        <v>305</v>
      </c>
      <c r="B18" s="7">
        <f>IF(C5&lt;&gt;0,_xlfn.CEILING.MATH(C5*1000,1000)*I15+$B$15,0)</f>
        <v>24000</v>
      </c>
      <c r="C18" s="7">
        <f>IF(C6&lt;&gt;0,_xlfn.CEILING.MATH(C6*1000,1000)*I15+$B$15,0)</f>
        <v>21000</v>
      </c>
      <c r="D18" s="7">
        <f>IF(C7&lt;&gt;0,_xlfn.CEILING.MATH(C7*1000,1000)*I15+$B$15,0)</f>
        <v>20000</v>
      </c>
      <c r="E18" s="7">
        <f>IF(C8&lt;&gt;0,_xlfn.CEILING.MATH(C8*1000,1000)*I15+$B$15,0)</f>
        <v>24000</v>
      </c>
      <c r="F18" s="7">
        <f>IF(C9&lt;&gt;0,_xlfn.CEILING.MATH(C9*1000,1000)*I15+$B$15,0)</f>
        <v>0</v>
      </c>
      <c r="G18" s="7">
        <f>IF(C10&lt;&gt;0,_xlfn.CEILING.MATH(C10*1000,1000)*I15+$B$15,0)</f>
        <v>0</v>
      </c>
      <c r="H18" s="7">
        <f>IF(C11&lt;&gt;0,_xlfn.CEILING.MATH(C11*1000,1000)*I15+$B$15,0)</f>
        <v>0</v>
      </c>
      <c r="I18" s="7">
        <f>IF(C12&lt;&gt;0,_xlfn.CEILING.MATH(C12*1000,1000)*I15+$B$15,0)</f>
        <v>0</v>
      </c>
      <c r="J18" s="15"/>
      <c r="K18" s="7"/>
    </row>
    <row r="19" spans="1:11" ht="15" customHeight="1" thickBot="1" x14ac:dyDescent="0.4">
      <c r="A19" s="63" t="s">
        <v>306</v>
      </c>
      <c r="B19" s="64" t="s">
        <v>59</v>
      </c>
      <c r="C19" s="65" t="s">
        <v>85</v>
      </c>
      <c r="D19" s="65" t="s">
        <v>137</v>
      </c>
      <c r="E19" s="65" t="s">
        <v>287</v>
      </c>
      <c r="F19" s="65" t="s">
        <v>307</v>
      </c>
      <c r="G19" s="65" t="s">
        <v>308</v>
      </c>
      <c r="H19" s="66"/>
      <c r="I19" s="66"/>
      <c r="J19" s="15"/>
      <c r="K19" s="7"/>
    </row>
    <row r="20" spans="1:11" ht="15" customHeight="1" thickBot="1" x14ac:dyDescent="0.4">
      <c r="A20" s="67" t="s">
        <v>309</v>
      </c>
      <c r="B20" s="70" t="s">
        <v>310</v>
      </c>
      <c r="C20" s="68" t="s">
        <v>638</v>
      </c>
      <c r="D20" s="62" t="s">
        <v>311</v>
      </c>
      <c r="E20" s="62" t="s">
        <v>639</v>
      </c>
      <c r="F20" s="62" t="s">
        <v>52</v>
      </c>
      <c r="G20" s="62" t="s">
        <v>308</v>
      </c>
      <c r="H20" s="62">
        <v>181002</v>
      </c>
      <c r="I20" s="62">
        <v>181002</v>
      </c>
      <c r="J20" s="24"/>
      <c r="K20" s="7"/>
    </row>
    <row r="21" spans="1:11" ht="29.5" customHeight="1" thickBot="1" x14ac:dyDescent="0.4">
      <c r="A21" s="25" t="s">
        <v>312</v>
      </c>
      <c r="B21" s="69">
        <v>10000</v>
      </c>
      <c r="C21" s="43">
        <v>10000</v>
      </c>
      <c r="D21" s="43">
        <v>10000</v>
      </c>
      <c r="E21" s="43">
        <v>10000</v>
      </c>
      <c r="F21" s="27">
        <v>10000</v>
      </c>
      <c r="G21" s="27">
        <v>10000</v>
      </c>
      <c r="H21" s="27">
        <v>5350</v>
      </c>
      <c r="I21" s="27">
        <v>10000</v>
      </c>
      <c r="J21" s="24"/>
      <c r="K21" s="7"/>
    </row>
    <row r="22" spans="1:11" ht="30" customHeight="1" thickBot="1" x14ac:dyDescent="0.4">
      <c r="A22" s="57" t="s">
        <v>313</v>
      </c>
      <c r="B22" s="58">
        <v>1000</v>
      </c>
      <c r="C22" s="59">
        <v>1000</v>
      </c>
      <c r="D22" s="58">
        <v>1000</v>
      </c>
      <c r="E22" s="59">
        <v>1000</v>
      </c>
      <c r="F22" s="59">
        <v>0</v>
      </c>
      <c r="G22" s="59">
        <v>1000</v>
      </c>
      <c r="H22" s="59">
        <v>0</v>
      </c>
      <c r="I22" s="59">
        <v>0</v>
      </c>
      <c r="J22" s="24"/>
      <c r="K22" s="7"/>
    </row>
    <row r="23" spans="1:11" ht="15" customHeight="1" thickBot="1" x14ac:dyDescent="0.4">
      <c r="A23" s="60" t="s">
        <v>314</v>
      </c>
      <c r="B23" s="61">
        <v>40</v>
      </c>
      <c r="C23" s="61">
        <v>40</v>
      </c>
      <c r="D23" s="61">
        <v>40</v>
      </c>
      <c r="E23" s="61">
        <v>40</v>
      </c>
      <c r="F23" s="61">
        <v>40</v>
      </c>
      <c r="G23" s="61">
        <v>40</v>
      </c>
      <c r="H23" s="61">
        <v>40</v>
      </c>
      <c r="I23" s="61">
        <v>40</v>
      </c>
      <c r="J23" s="16"/>
      <c r="K23" s="44"/>
    </row>
    <row r="24" spans="1:11" x14ac:dyDescent="0.35">
      <c r="A24" s="14" t="s">
        <v>315</v>
      </c>
      <c r="B24" s="44">
        <f t="shared" ref="B24:I24" si="0">B22*B18/B21</f>
        <v>2400</v>
      </c>
      <c r="C24" s="44">
        <f t="shared" si="0"/>
        <v>2100</v>
      </c>
      <c r="D24" s="44">
        <f t="shared" si="0"/>
        <v>2000</v>
      </c>
      <c r="E24" s="44">
        <f t="shared" si="0"/>
        <v>2400</v>
      </c>
      <c r="F24" s="44">
        <f t="shared" si="0"/>
        <v>0</v>
      </c>
      <c r="G24" s="44">
        <f t="shared" si="0"/>
        <v>0</v>
      </c>
      <c r="H24" s="44">
        <f t="shared" si="0"/>
        <v>0</v>
      </c>
      <c r="I24" s="52">
        <f t="shared" si="0"/>
        <v>0</v>
      </c>
      <c r="J24" s="44">
        <f>SUM(B24:I24)</f>
        <v>8900</v>
      </c>
      <c r="K24" s="14" t="s">
        <v>315</v>
      </c>
    </row>
    <row r="25" spans="1:11" x14ac:dyDescent="0.35">
      <c r="A25" s="14" t="s">
        <v>316</v>
      </c>
      <c r="B25" s="44">
        <f t="shared" ref="B25:I25" si="1">B18*B23/100</f>
        <v>9600</v>
      </c>
      <c r="C25" s="44">
        <f t="shared" si="1"/>
        <v>8400</v>
      </c>
      <c r="D25" s="44">
        <f t="shared" si="1"/>
        <v>8000</v>
      </c>
      <c r="E25" s="44">
        <f t="shared" si="1"/>
        <v>9600</v>
      </c>
      <c r="F25" s="44">
        <f t="shared" si="1"/>
        <v>0</v>
      </c>
      <c r="G25" s="44">
        <f t="shared" si="1"/>
        <v>0</v>
      </c>
      <c r="H25" s="44">
        <f t="shared" si="1"/>
        <v>0</v>
      </c>
      <c r="I25" s="52">
        <f t="shared" si="1"/>
        <v>0</v>
      </c>
      <c r="J25" s="44">
        <f>SUM(B25:I25)</f>
        <v>35600</v>
      </c>
      <c r="K25" s="14" t="s">
        <v>316</v>
      </c>
    </row>
    <row r="26" spans="1:11" ht="15" customHeight="1" thickBot="1" x14ac:dyDescent="0.4">
      <c r="A26" s="10" t="s">
        <v>295</v>
      </c>
      <c r="B26" s="56">
        <f t="shared" ref="B26:I26" si="2">B18-B24-B25-($F$15/100*B18)</f>
        <v>12000</v>
      </c>
      <c r="C26" s="56">
        <f t="shared" si="2"/>
        <v>10500</v>
      </c>
      <c r="D26" s="56">
        <f t="shared" si="2"/>
        <v>10000</v>
      </c>
      <c r="E26" s="56">
        <f t="shared" si="2"/>
        <v>12000</v>
      </c>
      <c r="F26" s="56">
        <f t="shared" si="2"/>
        <v>0</v>
      </c>
      <c r="G26" s="56">
        <f t="shared" si="2"/>
        <v>0</v>
      </c>
      <c r="H26" s="56">
        <f t="shared" si="2"/>
        <v>0</v>
      </c>
      <c r="I26" s="56">
        <f t="shared" si="2"/>
        <v>0</v>
      </c>
      <c r="J26" s="44">
        <f>SUM(B26:I26)</f>
        <v>44500</v>
      </c>
      <c r="K26" s="50" t="s">
        <v>295</v>
      </c>
    </row>
    <row r="27" spans="1:11" ht="15" customHeight="1" thickTop="1" x14ac:dyDescent="0.35">
      <c r="A27" s="14" t="s">
        <v>304</v>
      </c>
      <c r="B27" s="40">
        <f t="shared" ref="B27:I27" si="3">SUM(B24:B26)</f>
        <v>24000</v>
      </c>
      <c r="C27" s="40">
        <f t="shared" si="3"/>
        <v>21000</v>
      </c>
      <c r="D27" s="40">
        <f t="shared" si="3"/>
        <v>20000</v>
      </c>
      <c r="E27" s="40">
        <f t="shared" si="3"/>
        <v>24000</v>
      </c>
      <c r="F27" s="40">
        <f t="shared" si="3"/>
        <v>0</v>
      </c>
      <c r="G27" s="40">
        <f t="shared" si="3"/>
        <v>0</v>
      </c>
      <c r="H27" s="40">
        <f t="shared" si="3"/>
        <v>0</v>
      </c>
      <c r="I27" s="40">
        <f t="shared" si="3"/>
        <v>0</v>
      </c>
      <c r="J27" s="40"/>
    </row>
    <row r="28" spans="1:11" x14ac:dyDescent="0.35">
      <c r="A28" s="42"/>
      <c r="B28" s="40"/>
      <c r="C28" s="40"/>
      <c r="D28" s="40"/>
      <c r="E28" s="40"/>
      <c r="F28" s="40"/>
      <c r="G28" s="40"/>
      <c r="H28" s="40"/>
      <c r="I28" s="40"/>
    </row>
    <row r="29" spans="1:11" x14ac:dyDescent="0.35">
      <c r="A29" s="6" t="s">
        <v>300</v>
      </c>
      <c r="B29" s="6">
        <v>7000</v>
      </c>
    </row>
    <row r="31" spans="1:11" x14ac:dyDescent="0.35">
      <c r="A31" s="161" t="s">
        <v>317</v>
      </c>
      <c r="B31" s="199">
        <v>2</v>
      </c>
    </row>
    <row r="32" spans="1:11" ht="15" customHeight="1" thickBot="1" x14ac:dyDescent="0.4">
      <c r="A32" s="10" t="s">
        <v>318</v>
      </c>
      <c r="B32" s="11" t="s">
        <v>319</v>
      </c>
      <c r="C32" s="11" t="s">
        <v>319</v>
      </c>
    </row>
    <row r="33" spans="1:6" ht="15.5" customHeight="1" thickTop="1" thickBot="1" x14ac:dyDescent="0.4">
      <c r="A33" s="14" t="s">
        <v>305</v>
      </c>
      <c r="B33" s="7">
        <f>IF($B$31=1,(SUMPRODUCT(LEN(Syntheses!B8:M15))*Syntheses!$D$34*$I$15)+($B$15),(SUMPRODUCT(LEN(Syntheses!B8:M8)+LEN(Syntheses!B10:M10)+LEN(Syntheses!B12:M12)+LEN(Syntheses!B14:M14))*Syntheses!$D$34*$I$15)+($B$29))</f>
        <v>36225</v>
      </c>
      <c r="C33" s="7">
        <f>IF($B$31=2,(SUMPRODUCT(LEN(Syntheses!B9:M9)+LEN(Syntheses!B11:M11)+LEN(Syntheses!B13:M13)+LEN(Syntheses!B15:M15))*Syntheses!$D$34*$I$15)+($B$29),0)</f>
        <v>36625</v>
      </c>
    </row>
    <row r="34" spans="1:6" ht="15" customHeight="1" thickBot="1" x14ac:dyDescent="0.4">
      <c r="A34" s="71" t="s">
        <v>320</v>
      </c>
      <c r="B34" s="72" t="s">
        <v>321</v>
      </c>
      <c r="C34" s="72" t="s">
        <v>321</v>
      </c>
    </row>
    <row r="35" spans="1:6" ht="15" customHeight="1" thickBot="1" x14ac:dyDescent="0.4">
      <c r="A35" s="73" t="s">
        <v>322</v>
      </c>
      <c r="B35" s="26">
        <v>202</v>
      </c>
      <c r="C35" s="26">
        <v>202</v>
      </c>
    </row>
    <row r="36" spans="1:6" ht="15" customHeight="1" thickBot="1" x14ac:dyDescent="0.4">
      <c r="A36" s="74" t="s">
        <v>323</v>
      </c>
      <c r="B36" s="75">
        <v>40</v>
      </c>
      <c r="C36" s="76">
        <v>40</v>
      </c>
    </row>
    <row r="37" spans="1:6" x14ac:dyDescent="0.35">
      <c r="A37" t="s">
        <v>324</v>
      </c>
      <c r="B37">
        <f>B33*500*2/2000</f>
        <v>18112.5</v>
      </c>
      <c r="C37">
        <f>C33*500*2/2000</f>
        <v>18312.5</v>
      </c>
      <c r="E37" s="40">
        <f>SUM(B37:C37)</f>
        <v>36425</v>
      </c>
      <c r="F37" s="50" t="str">
        <f>A37</f>
        <v>Caco 2M 7.4</v>
      </c>
    </row>
    <row r="38" spans="1:6" x14ac:dyDescent="0.35">
      <c r="A38" t="s">
        <v>325</v>
      </c>
      <c r="B38">
        <f>B33*4/100</f>
        <v>1449</v>
      </c>
      <c r="C38">
        <f>C33*4/100</f>
        <v>1465</v>
      </c>
      <c r="E38" s="40">
        <f>SUM(B38:C38)</f>
        <v>2914</v>
      </c>
      <c r="F38" s="14" t="s">
        <v>18</v>
      </c>
    </row>
    <row r="39" spans="1:6" x14ac:dyDescent="0.35">
      <c r="A39" s="14" t="s">
        <v>326</v>
      </c>
      <c r="B39" s="53">
        <f>B33*B36/B35</f>
        <v>7173.2673267326736</v>
      </c>
      <c r="C39" s="53">
        <f>C33*C36/C35</f>
        <v>7252.4752475247524</v>
      </c>
      <c r="E39" s="40">
        <f>SUM(B39:C39)</f>
        <v>14425.742574257427</v>
      </c>
      <c r="F39" s="14" t="s">
        <v>326</v>
      </c>
    </row>
    <row r="40" spans="1:6" x14ac:dyDescent="0.35">
      <c r="A40" s="14" t="s">
        <v>295</v>
      </c>
      <c r="B40" s="44">
        <f>B33-B37-B38-B39-B41</f>
        <v>9417.7826732673257</v>
      </c>
      <c r="C40" s="44">
        <f>C33-C37-C38-C39-C41</f>
        <v>9521.7747524752485</v>
      </c>
      <c r="E40" s="40">
        <f>SUM(B40:C40)</f>
        <v>18939.557425742576</v>
      </c>
      <c r="F40" s="50" t="s">
        <v>295</v>
      </c>
    </row>
    <row r="41" spans="1:6" ht="15" customHeight="1" thickBot="1" x14ac:dyDescent="0.4">
      <c r="A41" s="54" t="s">
        <v>327</v>
      </c>
      <c r="B41" s="45">
        <f>B33*0.01*2/10</f>
        <v>72.45</v>
      </c>
      <c r="C41" s="45">
        <f>C33*0.01*2/10</f>
        <v>73.25</v>
      </c>
      <c r="E41" s="40">
        <f>SUM(B41:C41)</f>
        <v>145.69999999999999</v>
      </c>
      <c r="F41" s="51" t="s">
        <v>327</v>
      </c>
    </row>
    <row r="42" spans="1:6" ht="15" customHeight="1" thickTop="1" x14ac:dyDescent="0.35">
      <c r="A42" s="14" t="s">
        <v>304</v>
      </c>
      <c r="B42" s="40">
        <f>SUM(B37:B41)</f>
        <v>36225</v>
      </c>
      <c r="C42" s="40">
        <f>SUM(C37:C41)</f>
        <v>36625</v>
      </c>
    </row>
  </sheetData>
  <mergeCells count="2">
    <mergeCell ref="A1:D2"/>
    <mergeCell ref="F1:I1"/>
  </mergeCells>
  <conditionalFormatting sqref="I15">
    <cfRule type="cellIs" dxfId="6" priority="1" operator="equal">
      <formula>1</formula>
    </cfRule>
    <cfRule type="cellIs" dxfId="5" priority="2" operator="greaterThan">
      <formula>1</formula>
    </cfRule>
  </conditionalFormatting>
  <pageMargins left="0.7" right="0.7" top="0.75" bottom="0.75" header="0.3" footer="0.3"/>
  <pageSetup paperSize="9" scale="75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pageSetUpPr fitToPage="1"/>
  </sheetPr>
  <dimension ref="A1:N42"/>
  <sheetViews>
    <sheetView topLeftCell="A10" zoomScale="70" zoomScaleNormal="70" workbookViewId="0">
      <selection activeCell="B32" sqref="B32"/>
    </sheetView>
  </sheetViews>
  <sheetFormatPr baseColWidth="10" defaultColWidth="11.453125" defaultRowHeight="14.5" x14ac:dyDescent="0.35"/>
  <cols>
    <col min="2" max="2" width="16.54296875" style="200" customWidth="1"/>
  </cols>
  <sheetData>
    <row r="1" spans="1:14" x14ac:dyDescent="0.35">
      <c r="A1" s="285" t="s">
        <v>328</v>
      </c>
      <c r="B1" s="268"/>
      <c r="C1" s="268"/>
      <c r="D1" s="268"/>
      <c r="E1" s="268"/>
      <c r="F1" s="268"/>
      <c r="G1" s="268"/>
      <c r="H1" s="268"/>
      <c r="I1" s="269"/>
    </row>
    <row r="2" spans="1:14" ht="15" customHeight="1" thickBot="1" x14ac:dyDescent="0.4">
      <c r="A2" s="270"/>
      <c r="B2" s="271"/>
      <c r="C2" s="271"/>
      <c r="D2" s="271"/>
      <c r="E2" s="271"/>
      <c r="F2" s="271"/>
      <c r="G2" s="271"/>
      <c r="H2" s="271"/>
      <c r="I2" s="272"/>
    </row>
    <row r="3" spans="1:14" ht="23.5" customHeight="1" x14ac:dyDescent="0.35">
      <c r="A3" s="1"/>
      <c r="B3" s="1"/>
      <c r="C3" s="1"/>
      <c r="D3" s="1"/>
      <c r="E3" s="1"/>
      <c r="F3" s="1"/>
      <c r="G3" s="1"/>
      <c r="H3" s="1"/>
      <c r="I3" s="1"/>
    </row>
    <row r="4" spans="1:14" ht="23.5" customHeight="1" x14ac:dyDescent="0.35">
      <c r="A4" t="s">
        <v>329</v>
      </c>
      <c r="B4" t="s">
        <v>330</v>
      </c>
      <c r="C4" t="s">
        <v>331</v>
      </c>
      <c r="D4" s="1"/>
      <c r="E4" s="1"/>
      <c r="F4" s="1"/>
      <c r="G4" s="1"/>
      <c r="H4" s="1"/>
      <c r="I4" s="1"/>
    </row>
    <row r="5" spans="1:14" ht="23.5" customHeight="1" x14ac:dyDescent="0.35">
      <c r="A5">
        <f>COUNTIF(B8:M15,"&lt;=15")-COUNTIF(B8:M15,"=0")</f>
        <v>0</v>
      </c>
      <c r="B5">
        <f>COUNTIF(B8:M15,"&lt;=39")-COUNTIF(B8:M15,"=0")-A5</f>
        <v>96</v>
      </c>
      <c r="C5">
        <f>COUNTIF(B8:M15,"&gt;39")</f>
        <v>0</v>
      </c>
      <c r="D5" s="1"/>
      <c r="E5" s="1"/>
      <c r="F5" s="1"/>
      <c r="G5" s="1"/>
      <c r="H5" s="1"/>
      <c r="I5" s="1"/>
    </row>
    <row r="7" spans="1:14" x14ac:dyDescent="0.35">
      <c r="A7" s="3"/>
      <c r="B7" s="3">
        <v>1</v>
      </c>
      <c r="C7" s="3">
        <v>2</v>
      </c>
      <c r="D7" s="3">
        <v>3</v>
      </c>
      <c r="E7" s="3">
        <v>4</v>
      </c>
      <c r="F7" s="3">
        <v>5</v>
      </c>
      <c r="G7" s="3">
        <v>6</v>
      </c>
      <c r="H7" s="3">
        <v>7</v>
      </c>
      <c r="I7" s="3">
        <v>8</v>
      </c>
      <c r="J7" s="3">
        <v>9</v>
      </c>
      <c r="K7" s="3">
        <v>10</v>
      </c>
      <c r="L7" s="3">
        <v>11</v>
      </c>
      <c r="M7" s="3">
        <v>12</v>
      </c>
    </row>
    <row r="8" spans="1:14" x14ac:dyDescent="0.35">
      <c r="A8" s="2" t="s">
        <v>59</v>
      </c>
      <c r="B8" s="47">
        <f>LEN(Syntheses!B8)</f>
        <v>24</v>
      </c>
      <c r="C8" s="47">
        <f>LEN(Syntheses!C8)</f>
        <v>22</v>
      </c>
      <c r="D8" s="47">
        <f>LEN(Syntheses!D8)</f>
        <v>24</v>
      </c>
      <c r="E8" s="47">
        <f>LEN(Syntheses!E8)</f>
        <v>23</v>
      </c>
      <c r="F8" s="47">
        <f>LEN(Syntheses!F8)</f>
        <v>27</v>
      </c>
      <c r="G8" s="47">
        <f>LEN(Syntheses!G8)</f>
        <v>22</v>
      </c>
      <c r="H8" s="47">
        <f>LEN(Syntheses!H8)</f>
        <v>23</v>
      </c>
      <c r="I8" s="47">
        <f>LEN(Syntheses!I8)</f>
        <v>28</v>
      </c>
      <c r="J8" s="47">
        <f>LEN(Syntheses!J8)</f>
        <v>28</v>
      </c>
      <c r="K8" s="47">
        <f>LEN(Syntheses!K8)</f>
        <v>22</v>
      </c>
      <c r="L8" s="47">
        <f>LEN(Syntheses!L8)</f>
        <v>29</v>
      </c>
      <c r="M8" s="47">
        <f>LEN(Syntheses!M8)</f>
        <v>23</v>
      </c>
    </row>
    <row r="9" spans="1:14" x14ac:dyDescent="0.35">
      <c r="A9" s="2" t="s">
        <v>72</v>
      </c>
      <c r="B9" s="5">
        <f>LEN(Syntheses!B9)</f>
        <v>25</v>
      </c>
      <c r="C9" s="5">
        <f>LEN(Syntheses!C9)</f>
        <v>22</v>
      </c>
      <c r="D9" s="5">
        <f>LEN(Syntheses!D9)</f>
        <v>22</v>
      </c>
      <c r="E9" s="5">
        <f>LEN(Syntheses!E9)</f>
        <v>25</v>
      </c>
      <c r="F9" s="5">
        <f>LEN(Syntheses!F9)</f>
        <v>23</v>
      </c>
      <c r="G9" s="5">
        <f>LEN(Syntheses!G9)</f>
        <v>25</v>
      </c>
      <c r="H9" s="5">
        <f>LEN(Syntheses!H9)</f>
        <v>25</v>
      </c>
      <c r="I9" s="5">
        <f>LEN(Syntheses!I9)</f>
        <v>28</v>
      </c>
      <c r="J9" s="5">
        <f>LEN(Syntheses!J9)</f>
        <v>29</v>
      </c>
      <c r="K9" s="5">
        <f>LEN(Syntheses!K9)</f>
        <v>22</v>
      </c>
      <c r="L9" s="5">
        <f>LEN(Syntheses!L9)</f>
        <v>27</v>
      </c>
      <c r="M9" s="5">
        <f>LEN(Syntheses!M9)</f>
        <v>24</v>
      </c>
    </row>
    <row r="10" spans="1:14" x14ac:dyDescent="0.35">
      <c r="A10" s="2" t="s">
        <v>85</v>
      </c>
      <c r="B10" s="5">
        <f>LEN(Syntheses!B10)</f>
        <v>22</v>
      </c>
      <c r="C10" s="5">
        <f>LEN(Syntheses!C10)</f>
        <v>24</v>
      </c>
      <c r="D10" s="5">
        <f>LEN(Syntheses!D10)</f>
        <v>27</v>
      </c>
      <c r="E10" s="5">
        <f>LEN(Syntheses!E10)</f>
        <v>29</v>
      </c>
      <c r="F10" s="5">
        <f>LEN(Syntheses!F10)</f>
        <v>25</v>
      </c>
      <c r="G10" s="5">
        <f>LEN(Syntheses!G10)</f>
        <v>22</v>
      </c>
      <c r="H10" s="5">
        <f>LEN(Syntheses!H10)</f>
        <v>22</v>
      </c>
      <c r="I10" s="5">
        <f>LEN(Syntheses!I10)</f>
        <v>25</v>
      </c>
      <c r="J10" s="5">
        <f>LEN(Syntheses!J10)</f>
        <v>22</v>
      </c>
      <c r="K10" s="5">
        <f>LEN(Syntheses!K10)</f>
        <v>22</v>
      </c>
      <c r="L10" s="5">
        <f>LEN(Syntheses!L10)</f>
        <v>29</v>
      </c>
      <c r="M10" s="5">
        <f>LEN(Syntheses!M10)</f>
        <v>25</v>
      </c>
    </row>
    <row r="11" spans="1:14" x14ac:dyDescent="0.35">
      <c r="A11" s="2" t="s">
        <v>98</v>
      </c>
      <c r="B11" s="5">
        <f>LEN(Syntheses!B11)</f>
        <v>24</v>
      </c>
      <c r="C11" s="5">
        <f>LEN(Syntheses!C11)</f>
        <v>24</v>
      </c>
      <c r="D11" s="5">
        <f>LEN(Syntheses!D11)</f>
        <v>26</v>
      </c>
      <c r="E11" s="5">
        <f>LEN(Syntheses!E11)</f>
        <v>29</v>
      </c>
      <c r="F11" s="5">
        <f>LEN(Syntheses!F11)</f>
        <v>22</v>
      </c>
      <c r="G11" s="5">
        <f>LEN(Syntheses!G11)</f>
        <v>26</v>
      </c>
      <c r="H11" s="5">
        <f>LEN(Syntheses!H11)</f>
        <v>22</v>
      </c>
      <c r="I11" s="5">
        <f>LEN(Syntheses!I11)</f>
        <v>28</v>
      </c>
      <c r="J11" s="5">
        <f>LEN(Syntheses!J11)</f>
        <v>22</v>
      </c>
      <c r="K11" s="5">
        <f>LEN(Syntheses!K11)</f>
        <v>28</v>
      </c>
      <c r="L11" s="5">
        <f>LEN(Syntheses!L11)</f>
        <v>22</v>
      </c>
      <c r="M11" s="5">
        <f>LEN(Syntheses!M11)</f>
        <v>24</v>
      </c>
    </row>
    <row r="12" spans="1:14" x14ac:dyDescent="0.35">
      <c r="A12" s="2" t="s">
        <v>111</v>
      </c>
      <c r="B12" s="5">
        <f>LEN(Syntheses!B12)</f>
        <v>22</v>
      </c>
      <c r="C12" s="5">
        <f>LEN(Syntheses!C12)</f>
        <v>22</v>
      </c>
      <c r="D12" s="5">
        <f>LEN(Syntheses!D12)</f>
        <v>22</v>
      </c>
      <c r="E12" s="5">
        <f>LEN(Syntheses!E12)</f>
        <v>22</v>
      </c>
      <c r="F12" s="5">
        <f>LEN(Syntheses!F12)</f>
        <v>24</v>
      </c>
      <c r="G12" s="5">
        <f>LEN(Syntheses!G12)</f>
        <v>23</v>
      </c>
      <c r="H12" s="5">
        <f>LEN(Syntheses!H12)</f>
        <v>25</v>
      </c>
      <c r="I12" s="5">
        <f>LEN(Syntheses!I12)</f>
        <v>22</v>
      </c>
      <c r="J12" s="5">
        <f>LEN(Syntheses!J12)</f>
        <v>23</v>
      </c>
      <c r="K12" s="5">
        <f>LEN(Syntheses!K12)</f>
        <v>28</v>
      </c>
      <c r="L12" s="5">
        <f>LEN(Syntheses!L12)</f>
        <v>26</v>
      </c>
      <c r="M12" s="5">
        <f>LEN(Syntheses!M12)</f>
        <v>25</v>
      </c>
    </row>
    <row r="13" spans="1:14" x14ac:dyDescent="0.35">
      <c r="A13" s="2" t="s">
        <v>124</v>
      </c>
      <c r="B13" s="5">
        <f>LEN(Syntheses!B13)</f>
        <v>28</v>
      </c>
      <c r="C13" s="5">
        <f>LEN(Syntheses!C13)</f>
        <v>22</v>
      </c>
      <c r="D13" s="5">
        <f>LEN(Syntheses!D13)</f>
        <v>23</v>
      </c>
      <c r="E13" s="5">
        <f>LEN(Syntheses!E13)</f>
        <v>22</v>
      </c>
      <c r="F13" s="5">
        <f>LEN(Syntheses!F13)</f>
        <v>29</v>
      </c>
      <c r="G13" s="5">
        <f>LEN(Syntheses!G13)</f>
        <v>22</v>
      </c>
      <c r="H13" s="5">
        <f>LEN(Syntheses!H13)</f>
        <v>29</v>
      </c>
      <c r="I13" s="5">
        <f>LEN(Syntheses!I13)</f>
        <v>22</v>
      </c>
      <c r="J13" s="5">
        <f>LEN(Syntheses!J13)</f>
        <v>26</v>
      </c>
      <c r="K13" s="5">
        <f>LEN(Syntheses!K13)</f>
        <v>30</v>
      </c>
      <c r="L13" s="5">
        <f>LEN(Syntheses!L13)</f>
        <v>26</v>
      </c>
      <c r="M13" s="5">
        <f>LEN(Syntheses!M13)</f>
        <v>22</v>
      </c>
    </row>
    <row r="14" spans="1:14" x14ac:dyDescent="0.35">
      <c r="A14" s="2" t="s">
        <v>137</v>
      </c>
      <c r="B14" s="5">
        <f>LEN(Syntheses!B14)</f>
        <v>22</v>
      </c>
      <c r="C14" s="5">
        <f>LEN(Syntheses!C14)</f>
        <v>22</v>
      </c>
      <c r="D14" s="5">
        <f>LEN(Syntheses!D14)</f>
        <v>27</v>
      </c>
      <c r="E14" s="5">
        <f>LEN(Syntheses!E14)</f>
        <v>27</v>
      </c>
      <c r="F14" s="5">
        <f>LEN(Syntheses!F14)</f>
        <v>22</v>
      </c>
      <c r="G14" s="5">
        <f>LEN(Syntheses!G14)</f>
        <v>29</v>
      </c>
      <c r="H14" s="5">
        <f>LEN(Syntheses!H14)</f>
        <v>30</v>
      </c>
      <c r="I14" s="5">
        <f>LEN(Syntheses!I14)</f>
        <v>24</v>
      </c>
      <c r="J14" s="5">
        <f>LEN(Syntheses!J14)</f>
        <v>22</v>
      </c>
      <c r="K14" s="5">
        <f>LEN(Syntheses!K14)</f>
        <v>27</v>
      </c>
      <c r="L14" s="5">
        <f>LEN(Syntheses!L14)</f>
        <v>22</v>
      </c>
      <c r="M14" s="5">
        <f>LEN(Syntheses!M14)</f>
        <v>22</v>
      </c>
      <c r="N14" s="50" t="s">
        <v>332</v>
      </c>
    </row>
    <row r="15" spans="1:14" x14ac:dyDescent="0.35">
      <c r="A15" s="2" t="s">
        <v>150</v>
      </c>
      <c r="B15" s="5">
        <f>LEN(Syntheses!B15)</f>
        <v>22</v>
      </c>
      <c r="C15" s="5">
        <f>LEN(Syntheses!C15)</f>
        <v>24</v>
      </c>
      <c r="D15" s="5">
        <f>LEN(Syntheses!D15)</f>
        <v>25</v>
      </c>
      <c r="E15" s="5">
        <f>LEN(Syntheses!E15)</f>
        <v>25</v>
      </c>
      <c r="F15" s="5">
        <f>LEN(Syntheses!F15)</f>
        <v>28</v>
      </c>
      <c r="G15" s="5">
        <f>LEN(Syntheses!G15)</f>
        <v>22</v>
      </c>
      <c r="H15" s="5">
        <f>LEN(Syntheses!H15)</f>
        <v>29</v>
      </c>
      <c r="I15" s="5">
        <f>LEN(Syntheses!I15)</f>
        <v>23</v>
      </c>
      <c r="J15" s="5">
        <f>LEN(Syntheses!J15)</f>
        <v>22</v>
      </c>
      <c r="K15" s="5">
        <f>LEN(Syntheses!K15)</f>
        <v>23</v>
      </c>
      <c r="L15" s="5">
        <f>LEN(Syntheses!L15)</f>
        <v>22</v>
      </c>
      <c r="M15" s="5">
        <f>LEN(Syntheses!M15)</f>
        <v>25</v>
      </c>
      <c r="N15">
        <f>MAX(B8:M15)</f>
        <v>30</v>
      </c>
    </row>
    <row r="18" spans="1:13" x14ac:dyDescent="0.35">
      <c r="A18" s="2" t="s">
        <v>333</v>
      </c>
      <c r="B18" s="284" t="s">
        <v>334</v>
      </c>
      <c r="C18" s="266"/>
    </row>
    <row r="21" spans="1:13" x14ac:dyDescent="0.35">
      <c r="A21" s="3" t="s">
        <v>335</v>
      </c>
      <c r="B21" s="3">
        <v>1</v>
      </c>
      <c r="C21" s="3">
        <v>2</v>
      </c>
      <c r="D21" s="3">
        <v>3</v>
      </c>
      <c r="E21" s="3">
        <v>4</v>
      </c>
      <c r="F21" s="3">
        <v>5</v>
      </c>
      <c r="G21" s="3">
        <v>6</v>
      </c>
      <c r="H21" s="3">
        <v>7</v>
      </c>
      <c r="I21" s="3">
        <v>8</v>
      </c>
      <c r="J21" s="3">
        <v>9</v>
      </c>
      <c r="K21" s="3">
        <v>10</v>
      </c>
      <c r="L21" s="3">
        <v>11</v>
      </c>
      <c r="M21" s="3">
        <v>12</v>
      </c>
    </row>
    <row r="22" spans="1:13" x14ac:dyDescent="0.35">
      <c r="A22" s="2" t="s">
        <v>59</v>
      </c>
      <c r="B22" s="126"/>
      <c r="C22" s="126"/>
      <c r="D22" s="126"/>
      <c r="E22" s="126"/>
      <c r="F22" s="126"/>
      <c r="G22" s="126"/>
      <c r="H22" s="126"/>
      <c r="I22" s="126"/>
      <c r="J22" s="126"/>
      <c r="K22" s="126"/>
      <c r="L22" s="126"/>
      <c r="M22" s="126"/>
    </row>
    <row r="23" spans="1:13" x14ac:dyDescent="0.35">
      <c r="A23" s="2" t="s">
        <v>72</v>
      </c>
      <c r="B23" s="126"/>
      <c r="C23" s="126"/>
      <c r="D23" s="126"/>
      <c r="E23" s="126"/>
      <c r="F23" s="126"/>
      <c r="G23" s="126"/>
      <c r="H23" s="126"/>
      <c r="I23" s="126"/>
      <c r="J23" s="126"/>
      <c r="K23" s="126"/>
      <c r="L23" s="126"/>
      <c r="M23" s="126"/>
    </row>
    <row r="24" spans="1:13" x14ac:dyDescent="0.35">
      <c r="A24" s="2" t="s">
        <v>85</v>
      </c>
      <c r="B24" s="126"/>
      <c r="C24" s="126"/>
      <c r="D24" s="126"/>
      <c r="E24" s="126"/>
      <c r="F24" s="126"/>
      <c r="G24" s="126"/>
      <c r="H24" s="126"/>
      <c r="I24" s="126"/>
      <c r="J24" s="126"/>
      <c r="K24" s="126"/>
      <c r="L24" s="126"/>
      <c r="M24" s="126"/>
    </row>
    <row r="25" spans="1:13" x14ac:dyDescent="0.35">
      <c r="A25" s="2" t="s">
        <v>98</v>
      </c>
      <c r="B25" s="126"/>
      <c r="C25" s="126"/>
      <c r="D25" s="126"/>
      <c r="E25" s="126"/>
      <c r="F25" s="126"/>
      <c r="G25" s="126"/>
      <c r="H25" s="126"/>
      <c r="I25" s="126"/>
      <c r="J25" s="126"/>
      <c r="K25" s="126"/>
      <c r="L25" s="126"/>
      <c r="M25" s="126"/>
    </row>
    <row r="26" spans="1:13" x14ac:dyDescent="0.35">
      <c r="A26" s="2" t="s">
        <v>111</v>
      </c>
      <c r="B26" s="126"/>
      <c r="C26" s="126"/>
      <c r="D26" s="126"/>
      <c r="E26" s="126"/>
      <c r="F26" s="126"/>
      <c r="G26" s="126"/>
      <c r="H26" s="126"/>
      <c r="I26" s="126"/>
      <c r="J26" s="126"/>
      <c r="K26" s="126"/>
      <c r="L26" s="126"/>
      <c r="M26" s="126"/>
    </row>
    <row r="27" spans="1:13" x14ac:dyDescent="0.35">
      <c r="A27" s="2" t="s">
        <v>124</v>
      </c>
      <c r="B27" s="126"/>
      <c r="C27" s="126"/>
      <c r="D27" s="126"/>
      <c r="E27" s="126"/>
      <c r="F27" s="127"/>
      <c r="G27" s="126"/>
      <c r="H27" s="126"/>
      <c r="I27" s="126"/>
      <c r="J27" s="126"/>
      <c r="K27" s="127"/>
      <c r="L27" s="126"/>
      <c r="M27" s="126"/>
    </row>
    <row r="28" spans="1:13" x14ac:dyDescent="0.35">
      <c r="A28" s="2" t="s">
        <v>137</v>
      </c>
      <c r="B28" s="126"/>
      <c r="C28" s="126"/>
      <c r="D28" s="126"/>
      <c r="E28" s="126"/>
      <c r="F28" s="127"/>
      <c r="G28" s="126"/>
      <c r="H28" s="126"/>
      <c r="I28" s="126"/>
      <c r="J28" s="126"/>
      <c r="K28" s="127"/>
      <c r="L28" s="126"/>
      <c r="M28" s="126"/>
    </row>
    <row r="29" spans="1:13" x14ac:dyDescent="0.35">
      <c r="A29" s="2" t="s">
        <v>150</v>
      </c>
      <c r="B29" s="126"/>
      <c r="C29" s="126"/>
      <c r="D29" s="126"/>
      <c r="E29" s="126"/>
      <c r="F29" s="127"/>
      <c r="G29" s="126"/>
      <c r="H29" s="126"/>
      <c r="I29" s="126"/>
      <c r="J29" s="126"/>
      <c r="K29" s="127"/>
      <c r="L29" s="127"/>
      <c r="M29" s="127"/>
    </row>
    <row r="31" spans="1:13" x14ac:dyDescent="0.35">
      <c r="B31" s="142" t="s">
        <v>336</v>
      </c>
      <c r="C31" s="286" t="s">
        <v>337</v>
      </c>
      <c r="D31" s="266"/>
    </row>
    <row r="32" spans="1:13" x14ac:dyDescent="0.35">
      <c r="B32" s="143" t="s">
        <v>637</v>
      </c>
      <c r="C32" s="287" t="s">
        <v>338</v>
      </c>
      <c r="D32" s="288"/>
    </row>
    <row r="33" spans="1:4" x14ac:dyDescent="0.35">
      <c r="B33" s="144"/>
      <c r="C33" s="287"/>
      <c r="D33" s="288"/>
    </row>
    <row r="34" spans="1:4" x14ac:dyDescent="0.35">
      <c r="B34" s="144"/>
      <c r="C34" s="287"/>
      <c r="D34" s="288"/>
    </row>
    <row r="35" spans="1:4" x14ac:dyDescent="0.35">
      <c r="B35" s="144"/>
      <c r="C35" s="287"/>
      <c r="D35" s="288"/>
    </row>
    <row r="36" spans="1:4" x14ac:dyDescent="0.35">
      <c r="B36" s="144"/>
      <c r="C36" s="287"/>
      <c r="D36" s="288"/>
    </row>
    <row r="37" spans="1:4" x14ac:dyDescent="0.35">
      <c r="B37" s="144"/>
      <c r="C37" s="287"/>
      <c r="D37" s="288"/>
    </row>
    <row r="38" spans="1:4" x14ac:dyDescent="0.35">
      <c r="B38" s="141"/>
      <c r="C38" s="289"/>
      <c r="D38" s="290"/>
    </row>
    <row r="40" spans="1:4" x14ac:dyDescent="0.35">
      <c r="A40" s="3" t="s">
        <v>339</v>
      </c>
      <c r="B40" s="284" t="s">
        <v>340</v>
      </c>
      <c r="C40" s="276"/>
      <c r="D40" s="266"/>
    </row>
    <row r="42" spans="1:4" x14ac:dyDescent="0.35">
      <c r="A42" s="2" t="s">
        <v>341</v>
      </c>
      <c r="B42" s="284" t="s">
        <v>342</v>
      </c>
      <c r="C42" s="276"/>
      <c r="D42" s="266"/>
    </row>
  </sheetData>
  <mergeCells count="12">
    <mergeCell ref="B40:D40"/>
    <mergeCell ref="B42:D42"/>
    <mergeCell ref="A1:I2"/>
    <mergeCell ref="B18:C18"/>
    <mergeCell ref="C31:D31"/>
    <mergeCell ref="C32:D32"/>
    <mergeCell ref="C33:D33"/>
    <mergeCell ref="C34:D34"/>
    <mergeCell ref="C35:D35"/>
    <mergeCell ref="C36:D36"/>
    <mergeCell ref="C37:D37"/>
    <mergeCell ref="C38:D38"/>
  </mergeCells>
  <conditionalFormatting sqref="B9:M15">
    <cfRule type="cellIs" dxfId="4" priority="7" operator="greaterThan">
      <formula>0</formula>
    </cfRule>
    <cfRule type="cellIs" dxfId="3" priority="2" operator="greaterThan">
      <formula>0</formula>
    </cfRule>
    <cfRule type="cellIs" dxfId="2" priority="5" operator="greaterThan">
      <formula>0</formula>
    </cfRule>
  </conditionalFormatting>
  <conditionalFormatting sqref="B8:M15">
    <cfRule type="cellIs" dxfId="1" priority="1" operator="greaterThan">
      <formula>0</formula>
    </cfRule>
  </conditionalFormatting>
  <pageMargins left="0.7" right="0.7" top="0.75" bottom="0.75" header="0.3" footer="0.3"/>
  <pageSetup paperSize="9" scale="71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"/>
  <sheetViews>
    <sheetView workbookViewId="0">
      <selection activeCell="D20" sqref="D20"/>
    </sheetView>
  </sheetViews>
  <sheetFormatPr baseColWidth="10"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61B5-D795-489A-AB30-C68E674BD686}">
  <dimension ref="A1:Z40"/>
  <sheetViews>
    <sheetView topLeftCell="A22" zoomScale="55" zoomScaleNormal="55" workbookViewId="0">
      <selection activeCell="M19" sqref="M19"/>
    </sheetView>
  </sheetViews>
  <sheetFormatPr baseColWidth="10" defaultRowHeight="14.5" x14ac:dyDescent="0.35"/>
  <cols>
    <col min="16" max="16" width="27.7265625" customWidth="1"/>
  </cols>
  <sheetData>
    <row r="1" spans="1:26" ht="19" thickBot="1" x14ac:dyDescent="0.5">
      <c r="A1" s="295" t="s">
        <v>640</v>
      </c>
      <c r="B1" s="296"/>
      <c r="C1" s="296"/>
      <c r="D1" s="296"/>
      <c r="E1" s="296"/>
      <c r="F1" s="296"/>
      <c r="G1" s="296"/>
      <c r="H1" s="296"/>
      <c r="I1" s="296"/>
      <c r="J1" s="296"/>
      <c r="K1" s="296"/>
      <c r="L1" s="296"/>
      <c r="M1" s="297"/>
      <c r="N1" s="205"/>
      <c r="O1" s="205"/>
      <c r="P1" s="205"/>
      <c r="Q1" s="205"/>
      <c r="R1" s="205"/>
      <c r="S1" s="205"/>
      <c r="T1" s="205"/>
      <c r="U1" s="205"/>
      <c r="V1" s="205"/>
      <c r="W1" s="205"/>
      <c r="X1" s="205"/>
      <c r="Y1" s="205"/>
      <c r="Z1" s="205"/>
    </row>
    <row r="2" spans="1:26" ht="15" thickBot="1" x14ac:dyDescent="0.4">
      <c r="A2" s="205"/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5"/>
    </row>
    <row r="3" spans="1:26" ht="15" thickBot="1" x14ac:dyDescent="0.4">
      <c r="A3" s="206" t="s">
        <v>318</v>
      </c>
      <c r="B3" s="236" t="s">
        <v>663</v>
      </c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5"/>
    </row>
    <row r="4" spans="1:26" ht="15" thickBot="1" x14ac:dyDescent="0.4">
      <c r="A4" s="206" t="s">
        <v>3</v>
      </c>
      <c r="B4" s="235">
        <v>43956</v>
      </c>
      <c r="C4" s="236"/>
      <c r="D4" s="236"/>
      <c r="E4" s="236"/>
      <c r="F4" s="236"/>
      <c r="G4" s="236"/>
      <c r="H4" s="236"/>
      <c r="I4" s="236"/>
      <c r="J4" s="236"/>
      <c r="K4" s="236"/>
      <c r="L4" s="205"/>
      <c r="M4" s="205"/>
      <c r="N4" s="205"/>
      <c r="O4" s="205"/>
      <c r="P4" s="205"/>
      <c r="Q4" s="205"/>
      <c r="R4" s="205"/>
      <c r="S4" s="205"/>
      <c r="T4" s="205"/>
      <c r="U4" s="205"/>
      <c r="V4" s="205"/>
      <c r="W4" s="205"/>
      <c r="X4" s="205"/>
      <c r="Y4" s="205"/>
      <c r="Z4" s="205"/>
    </row>
    <row r="5" spans="1:26" ht="15" thickBot="1" x14ac:dyDescent="0.4">
      <c r="A5" s="205"/>
      <c r="B5" s="236"/>
      <c r="C5" s="236"/>
      <c r="D5" s="236"/>
      <c r="E5" s="236"/>
      <c r="F5" s="236"/>
      <c r="G5" s="236"/>
      <c r="H5" s="236"/>
      <c r="I5" s="236"/>
      <c r="J5" s="236"/>
      <c r="K5" s="236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  <c r="Y5" s="205"/>
      <c r="Z5" s="205"/>
    </row>
    <row r="6" spans="1:26" ht="30.5" thickBot="1" x14ac:dyDescent="0.5">
      <c r="A6" s="205" t="s">
        <v>641</v>
      </c>
      <c r="B6" s="236"/>
      <c r="C6" s="236"/>
      <c r="D6" s="236"/>
      <c r="E6" s="236"/>
      <c r="F6" s="236"/>
      <c r="G6" s="236"/>
      <c r="H6" s="236" t="s">
        <v>642</v>
      </c>
      <c r="I6" s="236"/>
      <c r="J6" s="236"/>
      <c r="K6" s="236"/>
      <c r="L6" s="205"/>
      <c r="M6" s="205"/>
      <c r="N6" s="205"/>
      <c r="O6" s="205"/>
      <c r="P6" s="233" t="s">
        <v>696</v>
      </c>
      <c r="Q6" s="205"/>
      <c r="R6" s="205"/>
      <c r="S6" s="205"/>
      <c r="T6" s="205"/>
      <c r="U6" s="205"/>
      <c r="V6" s="205"/>
      <c r="W6" s="205"/>
      <c r="X6" s="205"/>
      <c r="Y6" s="205"/>
      <c r="Z6" s="205"/>
    </row>
    <row r="7" spans="1:26" ht="29.5" thickBot="1" x14ac:dyDescent="0.4">
      <c r="A7" s="207"/>
      <c r="B7" s="207"/>
      <c r="C7" s="207"/>
      <c r="D7" s="207"/>
      <c r="E7" s="207"/>
      <c r="F7" s="207"/>
      <c r="G7" s="208" t="s">
        <v>643</v>
      </c>
      <c r="H7" s="208" t="s">
        <v>644</v>
      </c>
      <c r="I7" s="207"/>
      <c r="J7" s="205"/>
      <c r="K7" s="205"/>
      <c r="L7" s="205"/>
      <c r="M7" s="205"/>
      <c r="N7" s="205"/>
      <c r="O7" s="205"/>
      <c r="P7" s="234" t="s">
        <v>697</v>
      </c>
      <c r="Q7" s="205"/>
      <c r="R7" s="205"/>
      <c r="S7" s="205"/>
      <c r="T7" s="205"/>
      <c r="U7" s="205"/>
      <c r="V7" s="205"/>
      <c r="W7" s="205"/>
      <c r="X7" s="205"/>
      <c r="Y7" s="205"/>
      <c r="Z7" s="205"/>
    </row>
    <row r="8" spans="1:26" ht="44" thickBot="1" x14ac:dyDescent="0.4">
      <c r="A8" s="209" t="s">
        <v>645</v>
      </c>
      <c r="B8" s="210" t="s">
        <v>646</v>
      </c>
      <c r="C8" s="210" t="s">
        <v>647</v>
      </c>
      <c r="D8" s="210" t="s">
        <v>648</v>
      </c>
      <c r="E8" s="210" t="s">
        <v>649</v>
      </c>
      <c r="F8" s="210" t="s">
        <v>650</v>
      </c>
      <c r="G8" s="210" t="s">
        <v>651</v>
      </c>
      <c r="H8" s="210" t="s">
        <v>652</v>
      </c>
      <c r="I8" s="210" t="s">
        <v>653</v>
      </c>
      <c r="J8" s="205"/>
      <c r="K8" s="205"/>
      <c r="L8" s="205"/>
      <c r="M8" s="205"/>
      <c r="N8" s="205"/>
      <c r="O8" s="205"/>
      <c r="P8" s="234" t="s">
        <v>700</v>
      </c>
      <c r="Q8" s="205"/>
      <c r="R8" s="205"/>
      <c r="S8" s="205"/>
      <c r="T8" s="205"/>
      <c r="U8" s="205"/>
      <c r="V8" s="205"/>
      <c r="W8" s="205"/>
      <c r="X8" s="205"/>
      <c r="Y8" s="205"/>
      <c r="Z8" s="205"/>
    </row>
    <row r="9" spans="1:26" ht="15" thickBot="1" x14ac:dyDescent="0.4">
      <c r="A9" s="211" t="s">
        <v>654</v>
      </c>
      <c r="B9" s="212">
        <v>100</v>
      </c>
      <c r="C9" s="212">
        <v>2</v>
      </c>
      <c r="D9" s="212">
        <v>96</v>
      </c>
      <c r="E9" s="212">
        <v>19200</v>
      </c>
      <c r="F9" s="212">
        <v>100</v>
      </c>
      <c r="G9" s="212">
        <v>4900</v>
      </c>
      <c r="H9" s="212">
        <v>19.600000000000001</v>
      </c>
      <c r="I9" s="213" t="s">
        <v>655</v>
      </c>
      <c r="J9" s="205"/>
      <c r="K9" s="205"/>
      <c r="L9" s="205"/>
      <c r="M9" s="205"/>
      <c r="N9" s="205"/>
      <c r="O9" s="205"/>
      <c r="P9" s="234" t="s">
        <v>698</v>
      </c>
      <c r="Q9" s="205"/>
      <c r="R9" s="205"/>
      <c r="S9" s="205"/>
      <c r="T9" s="205"/>
      <c r="U9" s="205"/>
      <c r="V9" s="205"/>
      <c r="W9" s="205"/>
      <c r="X9" s="205"/>
      <c r="Y9" s="205"/>
      <c r="Z9" s="205"/>
    </row>
    <row r="10" spans="1:26" ht="44" thickBot="1" x14ac:dyDescent="0.4">
      <c r="A10" s="211" t="s">
        <v>656</v>
      </c>
      <c r="B10" s="298">
        <v>150</v>
      </c>
      <c r="C10" s="298">
        <v>1</v>
      </c>
      <c r="D10" s="298">
        <v>96</v>
      </c>
      <c r="E10" s="298">
        <v>14400</v>
      </c>
      <c r="F10" s="298">
        <v>700</v>
      </c>
      <c r="G10" s="298">
        <v>4300</v>
      </c>
      <c r="H10" s="214">
        <v>17.100000000000001</v>
      </c>
      <c r="I10" s="300" t="s">
        <v>657</v>
      </c>
      <c r="J10" s="205"/>
      <c r="K10" s="237" t="s">
        <v>664</v>
      </c>
      <c r="L10" s="205"/>
      <c r="M10" s="205"/>
      <c r="N10" s="205"/>
      <c r="O10" s="205"/>
      <c r="P10" s="234" t="s">
        <v>699</v>
      </c>
      <c r="Q10" s="205"/>
      <c r="R10" s="205"/>
      <c r="S10" s="205"/>
      <c r="T10" s="205"/>
      <c r="U10" s="205"/>
      <c r="V10" s="205"/>
      <c r="W10" s="205"/>
      <c r="X10" s="205"/>
      <c r="Y10" s="205"/>
      <c r="Z10" s="205"/>
    </row>
    <row r="11" spans="1:26" ht="29.5" thickBot="1" x14ac:dyDescent="0.4">
      <c r="A11" s="215" t="s">
        <v>658</v>
      </c>
      <c r="B11" s="299"/>
      <c r="C11" s="299"/>
      <c r="D11" s="299"/>
      <c r="E11" s="299"/>
      <c r="F11" s="299"/>
      <c r="G11" s="299"/>
      <c r="H11" s="216">
        <v>86</v>
      </c>
      <c r="I11" s="301"/>
      <c r="J11" s="205"/>
      <c r="K11" s="237" t="s">
        <v>665</v>
      </c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  <c r="Y11" s="205"/>
      <c r="Z11" s="205"/>
    </row>
    <row r="12" spans="1:26" ht="15" thickBot="1" x14ac:dyDescent="0.4">
      <c r="A12" s="211" t="s">
        <v>659</v>
      </c>
      <c r="B12" s="212">
        <v>100</v>
      </c>
      <c r="C12" s="212">
        <v>3</v>
      </c>
      <c r="D12" s="212">
        <v>96</v>
      </c>
      <c r="E12" s="212">
        <v>28800</v>
      </c>
      <c r="F12" s="212">
        <v>100</v>
      </c>
      <c r="G12" s="212">
        <v>7300</v>
      </c>
      <c r="H12" s="212">
        <v>29.2</v>
      </c>
      <c r="I12" s="213" t="s">
        <v>660</v>
      </c>
      <c r="J12" s="205"/>
      <c r="K12" s="236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  <c r="Y12" s="205"/>
      <c r="Z12" s="205"/>
    </row>
    <row r="13" spans="1:26" ht="29.5" thickBot="1" x14ac:dyDescent="0.4">
      <c r="A13" s="211" t="s">
        <v>661</v>
      </c>
      <c r="B13" s="212">
        <v>100</v>
      </c>
      <c r="C13" s="212">
        <v>3</v>
      </c>
      <c r="D13" s="212">
        <v>96</v>
      </c>
      <c r="E13" s="212">
        <v>28800</v>
      </c>
      <c r="F13" s="212">
        <v>100</v>
      </c>
      <c r="G13" s="212">
        <v>7300</v>
      </c>
      <c r="H13" s="212">
        <v>29.2</v>
      </c>
      <c r="I13" s="213" t="s">
        <v>662</v>
      </c>
      <c r="J13" s="205"/>
      <c r="K13" s="237" t="s">
        <v>666</v>
      </c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  <c r="Y13" s="205"/>
      <c r="Z13" s="205"/>
    </row>
    <row r="14" spans="1:26" ht="15" thickBot="1" x14ac:dyDescent="0.4">
      <c r="A14" s="207"/>
      <c r="B14" s="207"/>
      <c r="C14" s="207"/>
      <c r="D14" s="207"/>
      <c r="E14" s="207"/>
      <c r="F14" s="207"/>
      <c r="G14" s="207"/>
      <c r="H14" s="207"/>
      <c r="I14" s="207"/>
      <c r="J14" s="207"/>
      <c r="K14" s="207"/>
      <c r="L14" s="207"/>
      <c r="M14" s="207"/>
      <c r="N14" s="205"/>
      <c r="O14" s="205"/>
      <c r="P14" s="205"/>
      <c r="Q14" s="205"/>
      <c r="R14" s="205"/>
      <c r="S14" s="205"/>
      <c r="T14" s="205"/>
      <c r="U14" s="205"/>
      <c r="V14" s="205"/>
      <c r="W14" s="205"/>
      <c r="X14" s="205"/>
      <c r="Y14" s="205"/>
      <c r="Z14" s="205"/>
    </row>
    <row r="15" spans="1:26" ht="15" thickBot="1" x14ac:dyDescent="0.4"/>
    <row r="16" spans="1:26" ht="56" thickBot="1" x14ac:dyDescent="0.5">
      <c r="A16" s="218" t="s">
        <v>667</v>
      </c>
      <c r="B16" s="219" t="s">
        <v>663</v>
      </c>
      <c r="C16" s="220">
        <v>43956</v>
      </c>
      <c r="D16" s="217"/>
      <c r="E16" s="217"/>
      <c r="F16" s="217"/>
      <c r="G16" s="217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</row>
    <row r="17" spans="1:26" ht="15" thickBot="1" x14ac:dyDescent="0.4">
      <c r="A17" s="217"/>
      <c r="B17" s="217"/>
      <c r="C17" s="217"/>
      <c r="D17" s="217"/>
      <c r="E17" s="217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17"/>
      <c r="T17" s="217"/>
      <c r="U17" s="217"/>
      <c r="V17" s="217"/>
      <c r="W17" s="217"/>
      <c r="X17" s="217"/>
      <c r="Y17" s="217"/>
      <c r="Z17" s="217"/>
    </row>
    <row r="18" spans="1:26" ht="15" thickBot="1" x14ac:dyDescent="0.4">
      <c r="A18" s="221" t="s">
        <v>668</v>
      </c>
      <c r="B18" s="302" t="s">
        <v>669</v>
      </c>
      <c r="C18" s="303"/>
      <c r="D18" s="304" t="s">
        <v>425</v>
      </c>
      <c r="E18" s="305"/>
      <c r="F18" s="217"/>
      <c r="G18" s="217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  <c r="V18" s="217"/>
      <c r="W18" s="217"/>
      <c r="X18" s="217"/>
      <c r="Y18" s="217"/>
      <c r="Z18" s="217"/>
    </row>
    <row r="19" spans="1:26" ht="44" thickBot="1" x14ac:dyDescent="0.4">
      <c r="A19" s="222" t="s">
        <v>670</v>
      </c>
      <c r="B19" s="306" t="s">
        <v>671</v>
      </c>
      <c r="C19" s="307"/>
      <c r="D19" s="224" t="s">
        <v>672</v>
      </c>
      <c r="E19" s="217"/>
      <c r="F19" s="217"/>
      <c r="G19" s="217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17"/>
      <c r="T19" s="217"/>
      <c r="U19" s="217"/>
      <c r="V19" s="217"/>
      <c r="W19" s="217"/>
      <c r="X19" s="217"/>
      <c r="Y19" s="217"/>
      <c r="Z19" s="217"/>
    </row>
    <row r="20" spans="1:26" ht="58.5" thickBot="1" x14ac:dyDescent="0.4">
      <c r="A20" s="222" t="s">
        <v>673</v>
      </c>
      <c r="B20" s="306" t="s">
        <v>674</v>
      </c>
      <c r="C20" s="307"/>
      <c r="D20" s="217" t="s">
        <v>675</v>
      </c>
      <c r="E20" s="217"/>
      <c r="F20" s="217"/>
      <c r="G20" s="217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</row>
    <row r="21" spans="1:26" ht="29.5" thickBot="1" x14ac:dyDescent="0.4">
      <c r="A21" s="222" t="s">
        <v>676</v>
      </c>
      <c r="B21" s="293" t="s">
        <v>677</v>
      </c>
      <c r="C21" s="294"/>
      <c r="D21" s="223" t="s">
        <v>678</v>
      </c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</row>
    <row r="22" spans="1:26" ht="15" thickBot="1" x14ac:dyDescent="0.4">
      <c r="A22" s="291" t="s">
        <v>679</v>
      </c>
      <c r="B22" s="293" t="s">
        <v>680</v>
      </c>
      <c r="C22" s="294"/>
      <c r="D22" s="217" t="s">
        <v>681</v>
      </c>
      <c r="E22" s="217"/>
      <c r="F22" s="223" t="s">
        <v>682</v>
      </c>
      <c r="G22" s="217"/>
      <c r="H22" s="217"/>
      <c r="I22" s="217"/>
      <c r="J22" s="217"/>
      <c r="K22" s="217"/>
      <c r="L22" s="217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</row>
    <row r="23" spans="1:26" ht="58.5" thickBot="1" x14ac:dyDescent="0.4">
      <c r="A23" s="292"/>
      <c r="B23" s="293" t="s">
        <v>683</v>
      </c>
      <c r="C23" s="294"/>
      <c r="D23" s="222" t="s">
        <v>684</v>
      </c>
      <c r="E23" s="217"/>
      <c r="F23" s="223" t="s">
        <v>702</v>
      </c>
      <c r="G23" s="217"/>
      <c r="H23" s="217"/>
      <c r="I23" s="217"/>
      <c r="J23" s="217"/>
      <c r="K23" s="217"/>
      <c r="L23" s="217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</row>
    <row r="24" spans="1:26" ht="44" thickBot="1" x14ac:dyDescent="0.4">
      <c r="A24" s="222" t="s">
        <v>685</v>
      </c>
      <c r="B24" s="225" t="s">
        <v>686</v>
      </c>
      <c r="C24" s="217"/>
      <c r="D24" s="217" t="s">
        <v>678</v>
      </c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</row>
    <row r="25" spans="1:26" ht="15" thickBot="1" x14ac:dyDescent="0.4">
      <c r="A25" s="217"/>
      <c r="B25" s="217"/>
      <c r="C25" s="217"/>
      <c r="D25" s="217"/>
      <c r="E25" s="217"/>
      <c r="F25" s="217"/>
      <c r="G25" s="217"/>
      <c r="H25" s="217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</row>
    <row r="26" spans="1:26" ht="29.5" thickBot="1" x14ac:dyDescent="0.4">
      <c r="A26" s="217" t="s">
        <v>687</v>
      </c>
      <c r="B26" s="226">
        <v>96</v>
      </c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</row>
    <row r="27" spans="1:26" ht="15" thickBot="1" x14ac:dyDescent="0.4">
      <c r="A27" s="217"/>
      <c r="B27" s="226">
        <v>100</v>
      </c>
      <c r="C27" s="217"/>
      <c r="D27" s="217"/>
      <c r="E27" s="217"/>
      <c r="F27" s="217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</row>
    <row r="28" spans="1:26" ht="15" thickBot="1" x14ac:dyDescent="0.4">
      <c r="A28" s="217"/>
      <c r="B28" s="219" t="s">
        <v>688</v>
      </c>
      <c r="C28" s="217"/>
      <c r="D28" s="217"/>
      <c r="E28" s="217"/>
      <c r="F28" s="217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</row>
    <row r="29" spans="1:26" ht="29.5" thickBot="1" x14ac:dyDescent="0.4">
      <c r="A29" s="227" t="s">
        <v>689</v>
      </c>
      <c r="B29" s="228">
        <v>5000</v>
      </c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</row>
    <row r="30" spans="1:26" ht="15" thickBot="1" x14ac:dyDescent="0.4">
      <c r="A30" s="221" t="s">
        <v>690</v>
      </c>
      <c r="B30" s="229">
        <v>100</v>
      </c>
      <c r="C30" s="217"/>
      <c r="D30" s="223" t="s">
        <v>691</v>
      </c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</row>
    <row r="31" spans="1:26" ht="29.5" thickBot="1" x14ac:dyDescent="0.4">
      <c r="A31" s="221" t="s">
        <v>692</v>
      </c>
      <c r="B31" s="230">
        <v>500</v>
      </c>
      <c r="C31" s="217"/>
      <c r="D31" s="231" t="s">
        <v>693</v>
      </c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</row>
    <row r="32" spans="1:26" ht="29.5" thickBot="1" x14ac:dyDescent="0.4">
      <c r="A32" s="221" t="s">
        <v>694</v>
      </c>
      <c r="B32" s="230">
        <v>4400</v>
      </c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</row>
    <row r="33" spans="1:26" ht="15" thickBot="1" x14ac:dyDescent="0.4">
      <c r="A33" s="217"/>
      <c r="B33" s="232">
        <v>5000</v>
      </c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</row>
    <row r="34" spans="1:26" ht="15" thickBot="1" x14ac:dyDescent="0.4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</row>
    <row r="35" spans="1:26" ht="15" thickBot="1" x14ac:dyDescent="0.4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</row>
    <row r="36" spans="1:26" ht="15" thickBot="1" x14ac:dyDescent="0.4">
      <c r="A36" s="223" t="s">
        <v>695</v>
      </c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</row>
    <row r="37" spans="1:26" ht="15" thickBot="1" x14ac:dyDescent="0.4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</row>
    <row r="38" spans="1:26" ht="15" thickBot="1" x14ac:dyDescent="0.4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</row>
    <row r="39" spans="1:26" ht="15" thickBot="1" x14ac:dyDescent="0.4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</row>
    <row r="40" spans="1:26" ht="15" thickBot="1" x14ac:dyDescent="0.4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</row>
  </sheetData>
  <mergeCells count="16">
    <mergeCell ref="A22:A23"/>
    <mergeCell ref="B22:C22"/>
    <mergeCell ref="B23:C23"/>
    <mergeCell ref="A1:M1"/>
    <mergeCell ref="B10:B11"/>
    <mergeCell ref="C10:C11"/>
    <mergeCell ref="D10:D11"/>
    <mergeCell ref="E10:E11"/>
    <mergeCell ref="F10:F11"/>
    <mergeCell ref="G10:G11"/>
    <mergeCell ref="I10:I11"/>
    <mergeCell ref="B18:C18"/>
    <mergeCell ref="D18:E18"/>
    <mergeCell ref="B19:C19"/>
    <mergeCell ref="B20:C20"/>
    <mergeCell ref="B21:C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AD58"/>
  <sheetViews>
    <sheetView zoomScale="55" zoomScaleNormal="55" workbookViewId="0">
      <selection activeCell="H24" sqref="H24"/>
    </sheetView>
  </sheetViews>
  <sheetFormatPr baseColWidth="10" defaultRowHeight="14.5" x14ac:dyDescent="0.35"/>
  <sheetData>
    <row r="1" spans="1:30" x14ac:dyDescent="0.35">
      <c r="A1" s="153"/>
      <c r="B1" s="153" t="s">
        <v>343</v>
      </c>
      <c r="C1" s="153">
        <v>1</v>
      </c>
      <c r="D1" s="153">
        <v>2</v>
      </c>
      <c r="E1" s="153">
        <v>3</v>
      </c>
      <c r="F1" s="153">
        <v>4</v>
      </c>
      <c r="G1" s="153">
        <v>5</v>
      </c>
      <c r="H1" s="153">
        <v>6</v>
      </c>
      <c r="I1" s="153">
        <v>7</v>
      </c>
      <c r="J1" s="153">
        <v>8</v>
      </c>
      <c r="K1" s="153">
        <v>9</v>
      </c>
      <c r="L1" s="153">
        <v>10</v>
      </c>
      <c r="M1" s="153">
        <v>11</v>
      </c>
      <c r="N1" s="153">
        <v>12</v>
      </c>
      <c r="O1" s="153"/>
      <c r="P1" s="153"/>
      <c r="Q1" s="153"/>
      <c r="R1" s="153" t="s">
        <v>344</v>
      </c>
      <c r="S1" s="153">
        <v>1</v>
      </c>
      <c r="T1" s="153">
        <v>2</v>
      </c>
      <c r="U1" s="153">
        <v>3</v>
      </c>
      <c r="V1" s="153">
        <v>4</v>
      </c>
      <c r="W1" s="153">
        <v>5</v>
      </c>
      <c r="X1" s="153">
        <v>6</v>
      </c>
      <c r="Y1" s="153">
        <v>7</v>
      </c>
      <c r="Z1" s="153">
        <v>8</v>
      </c>
      <c r="AA1" s="153">
        <v>9</v>
      </c>
      <c r="AB1" s="153">
        <v>10</v>
      </c>
      <c r="AC1" s="153">
        <v>11</v>
      </c>
      <c r="AD1" s="153">
        <v>12</v>
      </c>
    </row>
    <row r="2" spans="1:30" ht="14.5" customHeight="1" x14ac:dyDescent="0.35">
      <c r="A2" s="308" t="s">
        <v>345</v>
      </c>
      <c r="B2" s="153" t="s">
        <v>59</v>
      </c>
      <c r="C2" s="154" t="e">
        <f t="shared" ref="C2:N9" si="0">(S2-$AB$13)/$AA$13</f>
        <v>#DIV/0!</v>
      </c>
      <c r="D2" s="154" t="e">
        <f t="shared" si="0"/>
        <v>#DIV/0!</v>
      </c>
      <c r="E2" s="154" t="e">
        <f t="shared" si="0"/>
        <v>#DIV/0!</v>
      </c>
      <c r="F2" s="154" t="e">
        <f t="shared" si="0"/>
        <v>#DIV/0!</v>
      </c>
      <c r="G2" s="154" t="e">
        <f t="shared" si="0"/>
        <v>#DIV/0!</v>
      </c>
      <c r="H2" s="154" t="e">
        <f t="shared" si="0"/>
        <v>#DIV/0!</v>
      </c>
      <c r="I2" s="154" t="e">
        <f t="shared" si="0"/>
        <v>#DIV/0!</v>
      </c>
      <c r="J2" s="154" t="e">
        <f t="shared" si="0"/>
        <v>#DIV/0!</v>
      </c>
      <c r="K2" s="154" t="e">
        <f t="shared" si="0"/>
        <v>#DIV/0!</v>
      </c>
      <c r="L2" s="154" t="e">
        <f t="shared" si="0"/>
        <v>#DIV/0!</v>
      </c>
      <c r="M2" s="154" t="e">
        <f t="shared" si="0"/>
        <v>#DIV/0!</v>
      </c>
      <c r="N2" s="154" t="e">
        <f t="shared" si="0"/>
        <v>#DIV/0!</v>
      </c>
      <c r="O2" s="153"/>
      <c r="P2" s="153"/>
      <c r="Q2" s="309" t="s">
        <v>346</v>
      </c>
      <c r="R2" s="153" t="s">
        <v>59</v>
      </c>
      <c r="S2" s="154">
        <f>'QuantificationFluo Raw data'!B2</f>
        <v>0</v>
      </c>
      <c r="T2" s="154">
        <f>'QuantificationFluo Raw data'!D2</f>
        <v>0</v>
      </c>
      <c r="U2" s="154">
        <f>'QuantificationFluo Raw data'!F2</f>
        <v>0</v>
      </c>
      <c r="V2" s="154">
        <f>'QuantificationFluo Raw data'!H2</f>
        <v>0</v>
      </c>
      <c r="W2" s="154">
        <f>'QuantificationFluo Raw data'!J2</f>
        <v>0</v>
      </c>
      <c r="X2" s="154">
        <f>'QuantificationFluo Raw data'!L2</f>
        <v>0</v>
      </c>
      <c r="Y2" s="154">
        <f>'QuantificationFluo Raw data'!N2</f>
        <v>0</v>
      </c>
      <c r="Z2" s="154">
        <f>'QuantificationFluo Raw data'!P2</f>
        <v>0</v>
      </c>
      <c r="AA2" s="154">
        <f>'QuantificationFluo Raw data'!R2</f>
        <v>0</v>
      </c>
      <c r="AB2" s="154">
        <f>'QuantificationFluo Raw data'!T2</f>
        <v>0</v>
      </c>
      <c r="AC2" s="154">
        <f>'QuantificationFluo Raw data'!V2</f>
        <v>0</v>
      </c>
      <c r="AD2" s="154">
        <f>'QuantificationFluo Raw data'!X2</f>
        <v>0</v>
      </c>
    </row>
    <row r="3" spans="1:30" x14ac:dyDescent="0.35">
      <c r="A3" s="281"/>
      <c r="B3" s="153" t="s">
        <v>72</v>
      </c>
      <c r="C3" s="154" t="e">
        <f t="shared" si="0"/>
        <v>#DIV/0!</v>
      </c>
      <c r="D3" s="154" t="e">
        <f t="shared" si="0"/>
        <v>#DIV/0!</v>
      </c>
      <c r="E3" s="154" t="e">
        <f t="shared" si="0"/>
        <v>#DIV/0!</v>
      </c>
      <c r="F3" s="154" t="e">
        <f t="shared" si="0"/>
        <v>#DIV/0!</v>
      </c>
      <c r="G3" s="154" t="e">
        <f t="shared" si="0"/>
        <v>#DIV/0!</v>
      </c>
      <c r="H3" s="154" t="e">
        <f t="shared" si="0"/>
        <v>#DIV/0!</v>
      </c>
      <c r="I3" s="154" t="e">
        <f t="shared" si="0"/>
        <v>#DIV/0!</v>
      </c>
      <c r="J3" s="154" t="e">
        <f t="shared" si="0"/>
        <v>#DIV/0!</v>
      </c>
      <c r="K3" s="154" t="e">
        <f t="shared" si="0"/>
        <v>#DIV/0!</v>
      </c>
      <c r="L3" s="154" t="e">
        <f t="shared" si="0"/>
        <v>#DIV/0!</v>
      </c>
      <c r="M3" s="154" t="e">
        <f t="shared" si="0"/>
        <v>#DIV/0!</v>
      </c>
      <c r="N3" s="154" t="e">
        <f t="shared" si="0"/>
        <v>#DIV/0!</v>
      </c>
      <c r="O3" s="153"/>
      <c r="P3" s="153"/>
      <c r="Q3" s="281"/>
      <c r="R3" s="153" t="s">
        <v>72</v>
      </c>
      <c r="S3" s="154">
        <f>'QuantificationFluo Raw data'!B3</f>
        <v>0</v>
      </c>
      <c r="T3" s="154">
        <f>'QuantificationFluo Raw data'!D3</f>
        <v>0</v>
      </c>
      <c r="U3" s="154">
        <f>'QuantificationFluo Raw data'!F3</f>
        <v>0</v>
      </c>
      <c r="V3" s="154">
        <f>'QuantificationFluo Raw data'!H3</f>
        <v>0</v>
      </c>
      <c r="W3" s="154">
        <f>'QuantificationFluo Raw data'!J3</f>
        <v>0</v>
      </c>
      <c r="X3" s="154">
        <f>'QuantificationFluo Raw data'!L3</f>
        <v>0</v>
      </c>
      <c r="Y3" s="154">
        <f>'QuantificationFluo Raw data'!N3</f>
        <v>0</v>
      </c>
      <c r="Z3" s="154">
        <f>'QuantificationFluo Raw data'!P3</f>
        <v>0</v>
      </c>
      <c r="AA3" s="154">
        <f>'QuantificationFluo Raw data'!R3</f>
        <v>0</v>
      </c>
      <c r="AB3" s="154">
        <f>'QuantificationFluo Raw data'!T3</f>
        <v>0</v>
      </c>
      <c r="AC3" s="154">
        <f>'QuantificationFluo Raw data'!V3</f>
        <v>0</v>
      </c>
      <c r="AD3" s="154">
        <f>'QuantificationFluo Raw data'!X3</f>
        <v>0</v>
      </c>
    </row>
    <row r="4" spans="1:30" x14ac:dyDescent="0.35">
      <c r="A4" s="281"/>
      <c r="B4" s="153" t="s">
        <v>85</v>
      </c>
      <c r="C4" s="154" t="e">
        <f t="shared" si="0"/>
        <v>#DIV/0!</v>
      </c>
      <c r="D4" s="154" t="e">
        <f t="shared" si="0"/>
        <v>#DIV/0!</v>
      </c>
      <c r="E4" s="154" t="e">
        <f t="shared" si="0"/>
        <v>#DIV/0!</v>
      </c>
      <c r="F4" s="154" t="e">
        <f t="shared" si="0"/>
        <v>#DIV/0!</v>
      </c>
      <c r="G4" s="154" t="e">
        <f t="shared" si="0"/>
        <v>#DIV/0!</v>
      </c>
      <c r="H4" s="154" t="e">
        <f t="shared" si="0"/>
        <v>#DIV/0!</v>
      </c>
      <c r="I4" s="154" t="e">
        <f t="shared" si="0"/>
        <v>#DIV/0!</v>
      </c>
      <c r="J4" s="154" t="e">
        <f t="shared" si="0"/>
        <v>#DIV/0!</v>
      </c>
      <c r="K4" s="154" t="e">
        <f t="shared" si="0"/>
        <v>#DIV/0!</v>
      </c>
      <c r="L4" s="154" t="e">
        <f t="shared" si="0"/>
        <v>#DIV/0!</v>
      </c>
      <c r="M4" s="154" t="e">
        <f t="shared" si="0"/>
        <v>#DIV/0!</v>
      </c>
      <c r="N4" s="154" t="e">
        <f t="shared" si="0"/>
        <v>#DIV/0!</v>
      </c>
      <c r="O4" s="153"/>
      <c r="P4" s="153"/>
      <c r="Q4" s="281"/>
      <c r="R4" s="153" t="s">
        <v>85</v>
      </c>
      <c r="S4" s="154">
        <f>'QuantificationFluo Raw data'!B4</f>
        <v>0</v>
      </c>
      <c r="T4" s="154">
        <f>'QuantificationFluo Raw data'!D4</f>
        <v>0</v>
      </c>
      <c r="U4" s="154">
        <f>'QuantificationFluo Raw data'!F4</f>
        <v>0</v>
      </c>
      <c r="V4" s="154">
        <f>'QuantificationFluo Raw data'!H4</f>
        <v>0</v>
      </c>
      <c r="W4" s="154">
        <f>'QuantificationFluo Raw data'!J4</f>
        <v>0</v>
      </c>
      <c r="X4" s="154">
        <f>'QuantificationFluo Raw data'!L4</f>
        <v>0</v>
      </c>
      <c r="Y4" s="154">
        <f>'QuantificationFluo Raw data'!N4</f>
        <v>0</v>
      </c>
      <c r="Z4" s="154">
        <f>'QuantificationFluo Raw data'!P4</f>
        <v>0</v>
      </c>
      <c r="AA4" s="154">
        <f>'QuantificationFluo Raw data'!R4</f>
        <v>0</v>
      </c>
      <c r="AB4" s="154">
        <f>'QuantificationFluo Raw data'!T4</f>
        <v>0</v>
      </c>
      <c r="AC4" s="154">
        <f>'QuantificationFluo Raw data'!V4</f>
        <v>0</v>
      </c>
      <c r="AD4" s="154">
        <f>'QuantificationFluo Raw data'!X4</f>
        <v>0</v>
      </c>
    </row>
    <row r="5" spans="1:30" x14ac:dyDescent="0.35">
      <c r="A5" s="281"/>
      <c r="B5" s="153" t="s">
        <v>98</v>
      </c>
      <c r="C5" s="154" t="e">
        <f t="shared" si="0"/>
        <v>#DIV/0!</v>
      </c>
      <c r="D5" s="154" t="e">
        <f t="shared" si="0"/>
        <v>#DIV/0!</v>
      </c>
      <c r="E5" s="154" t="e">
        <f t="shared" si="0"/>
        <v>#DIV/0!</v>
      </c>
      <c r="F5" s="154" t="e">
        <f t="shared" si="0"/>
        <v>#DIV/0!</v>
      </c>
      <c r="G5" s="154" t="e">
        <f t="shared" si="0"/>
        <v>#DIV/0!</v>
      </c>
      <c r="H5" s="154" t="e">
        <f t="shared" si="0"/>
        <v>#DIV/0!</v>
      </c>
      <c r="I5" s="154" t="e">
        <f t="shared" si="0"/>
        <v>#DIV/0!</v>
      </c>
      <c r="J5" s="154" t="e">
        <f t="shared" si="0"/>
        <v>#DIV/0!</v>
      </c>
      <c r="K5" s="154" t="e">
        <f t="shared" si="0"/>
        <v>#DIV/0!</v>
      </c>
      <c r="L5" s="154" t="e">
        <f t="shared" si="0"/>
        <v>#DIV/0!</v>
      </c>
      <c r="M5" s="154" t="e">
        <f t="shared" si="0"/>
        <v>#DIV/0!</v>
      </c>
      <c r="N5" s="154" t="e">
        <f t="shared" si="0"/>
        <v>#DIV/0!</v>
      </c>
      <c r="O5" s="153"/>
      <c r="P5" s="153"/>
      <c r="Q5" s="281"/>
      <c r="R5" s="153" t="s">
        <v>98</v>
      </c>
      <c r="S5" s="154">
        <f>'QuantificationFluo Raw data'!B5</f>
        <v>0</v>
      </c>
      <c r="T5" s="154">
        <f>'QuantificationFluo Raw data'!D5</f>
        <v>0</v>
      </c>
      <c r="U5" s="154">
        <f>'QuantificationFluo Raw data'!F5</f>
        <v>0</v>
      </c>
      <c r="V5" s="154">
        <f>'QuantificationFluo Raw data'!H5</f>
        <v>0</v>
      </c>
      <c r="W5" s="154">
        <f>'QuantificationFluo Raw data'!J5</f>
        <v>0</v>
      </c>
      <c r="X5" s="154">
        <f>'QuantificationFluo Raw data'!L5</f>
        <v>0</v>
      </c>
      <c r="Y5" s="154">
        <f>'QuantificationFluo Raw data'!N5</f>
        <v>0</v>
      </c>
      <c r="Z5" s="154">
        <f>'QuantificationFluo Raw data'!P5</f>
        <v>0</v>
      </c>
      <c r="AA5" s="154">
        <f>'QuantificationFluo Raw data'!R5</f>
        <v>0</v>
      </c>
      <c r="AB5" s="154">
        <f>'QuantificationFluo Raw data'!T5</f>
        <v>0</v>
      </c>
      <c r="AC5" s="154">
        <f>'QuantificationFluo Raw data'!V5</f>
        <v>0</v>
      </c>
      <c r="AD5" s="154">
        <f>'QuantificationFluo Raw data'!X5</f>
        <v>0</v>
      </c>
    </row>
    <row r="6" spans="1:30" x14ac:dyDescent="0.35">
      <c r="A6" s="281"/>
      <c r="B6" s="153" t="s">
        <v>111</v>
      </c>
      <c r="C6" s="154" t="e">
        <f t="shared" si="0"/>
        <v>#DIV/0!</v>
      </c>
      <c r="D6" s="154" t="e">
        <f t="shared" si="0"/>
        <v>#DIV/0!</v>
      </c>
      <c r="E6" s="154" t="e">
        <f t="shared" si="0"/>
        <v>#DIV/0!</v>
      </c>
      <c r="F6" s="154" t="e">
        <f t="shared" si="0"/>
        <v>#DIV/0!</v>
      </c>
      <c r="G6" s="154" t="e">
        <f t="shared" si="0"/>
        <v>#DIV/0!</v>
      </c>
      <c r="H6" s="154" t="e">
        <f t="shared" si="0"/>
        <v>#DIV/0!</v>
      </c>
      <c r="I6" s="154" t="e">
        <f t="shared" si="0"/>
        <v>#DIV/0!</v>
      </c>
      <c r="J6" s="154" t="e">
        <f t="shared" si="0"/>
        <v>#DIV/0!</v>
      </c>
      <c r="K6" s="154" t="e">
        <f t="shared" si="0"/>
        <v>#DIV/0!</v>
      </c>
      <c r="L6" s="154" t="e">
        <f t="shared" si="0"/>
        <v>#DIV/0!</v>
      </c>
      <c r="M6" s="154" t="e">
        <f t="shared" si="0"/>
        <v>#DIV/0!</v>
      </c>
      <c r="N6" s="154" t="e">
        <f t="shared" si="0"/>
        <v>#DIV/0!</v>
      </c>
      <c r="O6" s="153"/>
      <c r="P6" s="153"/>
      <c r="Q6" s="281"/>
      <c r="R6" s="153" t="s">
        <v>111</v>
      </c>
      <c r="S6" s="154">
        <f>'QuantificationFluo Raw data'!B6</f>
        <v>0</v>
      </c>
      <c r="T6" s="154">
        <f>'QuantificationFluo Raw data'!D6</f>
        <v>0</v>
      </c>
      <c r="U6" s="154">
        <f>'QuantificationFluo Raw data'!F6</f>
        <v>0</v>
      </c>
      <c r="V6" s="154">
        <f>'QuantificationFluo Raw data'!H6</f>
        <v>0</v>
      </c>
      <c r="W6" s="154">
        <f>'QuantificationFluo Raw data'!J6</f>
        <v>0</v>
      </c>
      <c r="X6" s="154">
        <f>'QuantificationFluo Raw data'!L6</f>
        <v>0</v>
      </c>
      <c r="Y6" s="154">
        <f>'QuantificationFluo Raw data'!N6</f>
        <v>0</v>
      </c>
      <c r="Z6" s="154">
        <f>'QuantificationFluo Raw data'!P6</f>
        <v>0</v>
      </c>
      <c r="AA6" s="154">
        <f>'QuantificationFluo Raw data'!R6</f>
        <v>0</v>
      </c>
      <c r="AB6" s="154">
        <f>'QuantificationFluo Raw data'!T6</f>
        <v>0</v>
      </c>
      <c r="AC6" s="154">
        <f>'QuantificationFluo Raw data'!V6</f>
        <v>0</v>
      </c>
      <c r="AD6" s="154">
        <f>'QuantificationFluo Raw data'!X6</f>
        <v>0</v>
      </c>
    </row>
    <row r="7" spans="1:30" x14ac:dyDescent="0.35">
      <c r="A7" s="281"/>
      <c r="B7" s="153" t="s">
        <v>124</v>
      </c>
      <c r="C7" s="154" t="e">
        <f t="shared" si="0"/>
        <v>#DIV/0!</v>
      </c>
      <c r="D7" s="154" t="e">
        <f t="shared" si="0"/>
        <v>#DIV/0!</v>
      </c>
      <c r="E7" s="154" t="e">
        <f t="shared" si="0"/>
        <v>#DIV/0!</v>
      </c>
      <c r="F7" s="154" t="e">
        <f t="shared" si="0"/>
        <v>#DIV/0!</v>
      </c>
      <c r="G7" s="154" t="e">
        <f t="shared" si="0"/>
        <v>#DIV/0!</v>
      </c>
      <c r="H7" s="154" t="e">
        <f t="shared" si="0"/>
        <v>#DIV/0!</v>
      </c>
      <c r="I7" s="154" t="e">
        <f t="shared" si="0"/>
        <v>#DIV/0!</v>
      </c>
      <c r="J7" s="154" t="e">
        <f t="shared" si="0"/>
        <v>#DIV/0!</v>
      </c>
      <c r="K7" s="154" t="e">
        <f t="shared" si="0"/>
        <v>#DIV/0!</v>
      </c>
      <c r="L7" s="154" t="e">
        <f t="shared" si="0"/>
        <v>#DIV/0!</v>
      </c>
      <c r="M7" s="154" t="e">
        <f t="shared" si="0"/>
        <v>#DIV/0!</v>
      </c>
      <c r="N7" s="154" t="e">
        <f t="shared" si="0"/>
        <v>#DIV/0!</v>
      </c>
      <c r="O7" s="153"/>
      <c r="P7" s="153"/>
      <c r="Q7" s="281"/>
      <c r="R7" s="153" t="s">
        <v>124</v>
      </c>
      <c r="S7" s="154">
        <f>'QuantificationFluo Raw data'!B7</f>
        <v>0</v>
      </c>
      <c r="T7" s="154">
        <f>'QuantificationFluo Raw data'!D7</f>
        <v>0</v>
      </c>
      <c r="U7" s="154">
        <f>'QuantificationFluo Raw data'!F7</f>
        <v>0</v>
      </c>
      <c r="V7" s="154">
        <f>'QuantificationFluo Raw data'!H7</f>
        <v>0</v>
      </c>
      <c r="W7" s="154">
        <f>'QuantificationFluo Raw data'!J7</f>
        <v>0</v>
      </c>
      <c r="X7" s="154">
        <f>'QuantificationFluo Raw data'!L7</f>
        <v>0</v>
      </c>
      <c r="Y7" s="154">
        <f>'QuantificationFluo Raw data'!N7</f>
        <v>0</v>
      </c>
      <c r="Z7" s="154">
        <f>'QuantificationFluo Raw data'!P7</f>
        <v>0</v>
      </c>
      <c r="AA7" s="154">
        <f>'QuantificationFluo Raw data'!R7</f>
        <v>0</v>
      </c>
      <c r="AB7" s="154">
        <f>'QuantificationFluo Raw data'!T7</f>
        <v>0</v>
      </c>
      <c r="AC7" s="154">
        <f>'QuantificationFluo Raw data'!V7</f>
        <v>0</v>
      </c>
      <c r="AD7" s="154">
        <f>'QuantificationFluo Raw data'!X7</f>
        <v>0</v>
      </c>
    </row>
    <row r="8" spans="1:30" x14ac:dyDescent="0.35">
      <c r="A8" s="281"/>
      <c r="B8" s="153" t="s">
        <v>137</v>
      </c>
      <c r="C8" s="154" t="e">
        <f t="shared" si="0"/>
        <v>#DIV/0!</v>
      </c>
      <c r="D8" s="154" t="e">
        <f t="shared" si="0"/>
        <v>#DIV/0!</v>
      </c>
      <c r="E8" s="154" t="e">
        <f t="shared" si="0"/>
        <v>#DIV/0!</v>
      </c>
      <c r="F8" s="154" t="e">
        <f t="shared" si="0"/>
        <v>#DIV/0!</v>
      </c>
      <c r="G8" s="154" t="e">
        <f t="shared" si="0"/>
        <v>#DIV/0!</v>
      </c>
      <c r="H8" s="154" t="e">
        <f t="shared" si="0"/>
        <v>#DIV/0!</v>
      </c>
      <c r="I8" s="154" t="e">
        <f t="shared" si="0"/>
        <v>#DIV/0!</v>
      </c>
      <c r="J8" s="154" t="e">
        <f t="shared" si="0"/>
        <v>#DIV/0!</v>
      </c>
      <c r="K8" s="154" t="e">
        <f t="shared" si="0"/>
        <v>#DIV/0!</v>
      </c>
      <c r="L8" s="154" t="e">
        <f t="shared" si="0"/>
        <v>#DIV/0!</v>
      </c>
      <c r="M8" s="154" t="e">
        <f t="shared" si="0"/>
        <v>#DIV/0!</v>
      </c>
      <c r="N8" s="154" t="e">
        <f t="shared" si="0"/>
        <v>#DIV/0!</v>
      </c>
      <c r="O8" s="153"/>
      <c r="P8" s="153"/>
      <c r="Q8" s="281"/>
      <c r="R8" s="153" t="s">
        <v>137</v>
      </c>
      <c r="S8" s="154">
        <f>'QuantificationFluo Raw data'!B8</f>
        <v>0</v>
      </c>
      <c r="T8" s="154">
        <f>'QuantificationFluo Raw data'!D8</f>
        <v>0</v>
      </c>
      <c r="U8" s="154">
        <f>'QuantificationFluo Raw data'!F8</f>
        <v>0</v>
      </c>
      <c r="V8" s="154">
        <f>'QuantificationFluo Raw data'!H8</f>
        <v>0</v>
      </c>
      <c r="W8" s="154">
        <f>'QuantificationFluo Raw data'!J8</f>
        <v>0</v>
      </c>
      <c r="X8" s="154">
        <f>'QuantificationFluo Raw data'!L8</f>
        <v>0</v>
      </c>
      <c r="Y8" s="154">
        <f>'QuantificationFluo Raw data'!N8</f>
        <v>0</v>
      </c>
      <c r="Z8" s="154">
        <f>'QuantificationFluo Raw data'!P8</f>
        <v>0</v>
      </c>
      <c r="AA8" s="154">
        <f>'QuantificationFluo Raw data'!R8</f>
        <v>0</v>
      </c>
      <c r="AB8" s="154">
        <f>'QuantificationFluo Raw data'!T8</f>
        <v>0</v>
      </c>
      <c r="AC8" s="154">
        <f>'QuantificationFluo Raw data'!V8</f>
        <v>0</v>
      </c>
      <c r="AD8" s="154">
        <f>'QuantificationFluo Raw data'!X8</f>
        <v>0</v>
      </c>
    </row>
    <row r="9" spans="1:30" x14ac:dyDescent="0.35">
      <c r="A9" s="281"/>
      <c r="B9" s="153" t="s">
        <v>150</v>
      </c>
      <c r="C9" s="154" t="e">
        <f t="shared" si="0"/>
        <v>#DIV/0!</v>
      </c>
      <c r="D9" s="154" t="e">
        <f t="shared" si="0"/>
        <v>#DIV/0!</v>
      </c>
      <c r="E9" s="154" t="e">
        <f t="shared" si="0"/>
        <v>#DIV/0!</v>
      </c>
      <c r="F9" s="154" t="e">
        <f t="shared" si="0"/>
        <v>#DIV/0!</v>
      </c>
      <c r="G9" s="154" t="e">
        <f t="shared" si="0"/>
        <v>#DIV/0!</v>
      </c>
      <c r="H9" s="154" t="e">
        <f t="shared" si="0"/>
        <v>#DIV/0!</v>
      </c>
      <c r="I9" s="154" t="e">
        <f t="shared" si="0"/>
        <v>#DIV/0!</v>
      </c>
      <c r="J9" s="154" t="e">
        <f t="shared" si="0"/>
        <v>#DIV/0!</v>
      </c>
      <c r="K9" s="154" t="e">
        <f t="shared" si="0"/>
        <v>#DIV/0!</v>
      </c>
      <c r="L9" s="154" t="e">
        <f t="shared" si="0"/>
        <v>#DIV/0!</v>
      </c>
      <c r="M9" s="154" t="e">
        <f t="shared" si="0"/>
        <v>#DIV/0!</v>
      </c>
      <c r="N9" s="154" t="e">
        <f t="shared" si="0"/>
        <v>#DIV/0!</v>
      </c>
      <c r="O9" s="153"/>
      <c r="P9" s="153"/>
      <c r="Q9" s="281"/>
      <c r="R9" s="153" t="s">
        <v>150</v>
      </c>
      <c r="S9" s="154">
        <f>'QuantificationFluo Raw data'!B9</f>
        <v>0</v>
      </c>
      <c r="T9" s="154">
        <f>'QuantificationFluo Raw data'!D9</f>
        <v>0</v>
      </c>
      <c r="U9" s="154">
        <f>'QuantificationFluo Raw data'!F9</f>
        <v>0</v>
      </c>
      <c r="V9" s="154">
        <f>'QuantificationFluo Raw data'!H9</f>
        <v>0</v>
      </c>
      <c r="W9" s="154">
        <f>'QuantificationFluo Raw data'!J9</f>
        <v>0</v>
      </c>
      <c r="X9" s="154">
        <f>'QuantificationFluo Raw data'!L9</f>
        <v>0</v>
      </c>
      <c r="Y9" s="154">
        <f>'QuantificationFluo Raw data'!N9</f>
        <v>0</v>
      </c>
      <c r="Z9" s="154">
        <f>'QuantificationFluo Raw data'!P9</f>
        <v>0</v>
      </c>
      <c r="AA9" s="154">
        <f>'QuantificationFluo Raw data'!R9</f>
        <v>0</v>
      </c>
      <c r="AB9" s="154">
        <f>'QuantificationFluo Raw data'!T9</f>
        <v>0</v>
      </c>
      <c r="AC9" s="154">
        <f>'QuantificationFluo Raw data'!V9</f>
        <v>0</v>
      </c>
      <c r="AD9" s="154">
        <f>'QuantificationFluo Raw data'!X9</f>
        <v>0</v>
      </c>
    </row>
    <row r="10" spans="1:30" x14ac:dyDescent="0.35">
      <c r="A10" s="153"/>
      <c r="B10" s="153"/>
      <c r="C10" s="153"/>
      <c r="D10" s="153"/>
      <c r="E10" s="153"/>
      <c r="F10" s="153"/>
      <c r="G10" s="153"/>
      <c r="H10" s="153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</row>
    <row r="11" spans="1:30" ht="29" customHeight="1" x14ac:dyDescent="0.35">
      <c r="A11" s="153" t="s">
        <v>347</v>
      </c>
      <c r="B11" s="153"/>
      <c r="C11" s="153">
        <v>1</v>
      </c>
      <c r="D11" s="153">
        <v>2</v>
      </c>
      <c r="E11" s="153">
        <v>3</v>
      </c>
      <c r="F11" s="153">
        <v>4</v>
      </c>
      <c r="G11" s="153">
        <v>5</v>
      </c>
      <c r="H11" s="153">
        <v>6</v>
      </c>
      <c r="I11" s="153">
        <v>7</v>
      </c>
      <c r="J11" s="153">
        <v>8</v>
      </c>
      <c r="K11" s="153">
        <v>9</v>
      </c>
      <c r="L11" s="153">
        <v>10</v>
      </c>
      <c r="M11" s="153">
        <v>11</v>
      </c>
      <c r="N11" s="153">
        <v>12</v>
      </c>
      <c r="O11" s="155" t="s">
        <v>348</v>
      </c>
      <c r="P11" s="153"/>
      <c r="Q11" s="310" t="s">
        <v>349</v>
      </c>
      <c r="R11" s="153" t="s">
        <v>350</v>
      </c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</row>
    <row r="12" spans="1:30" ht="29" customHeight="1" x14ac:dyDescent="0.35">
      <c r="A12" s="153">
        <v>50</v>
      </c>
      <c r="B12" s="153" t="s">
        <v>59</v>
      </c>
      <c r="C12" s="156" t="e">
        <f t="shared" ref="C12:N12" si="1">C2*$A$12</f>
        <v>#DIV/0!</v>
      </c>
      <c r="D12" s="156" t="e">
        <f t="shared" si="1"/>
        <v>#DIV/0!</v>
      </c>
      <c r="E12" s="156" t="e">
        <f t="shared" si="1"/>
        <v>#DIV/0!</v>
      </c>
      <c r="F12" s="156" t="e">
        <f t="shared" si="1"/>
        <v>#DIV/0!</v>
      </c>
      <c r="G12" s="156" t="e">
        <f t="shared" si="1"/>
        <v>#DIV/0!</v>
      </c>
      <c r="H12" s="156" t="e">
        <f t="shared" si="1"/>
        <v>#DIV/0!</v>
      </c>
      <c r="I12" s="156" t="e">
        <f t="shared" si="1"/>
        <v>#DIV/0!</v>
      </c>
      <c r="J12" s="156" t="e">
        <f t="shared" si="1"/>
        <v>#DIV/0!</v>
      </c>
      <c r="K12" s="156" t="e">
        <f t="shared" si="1"/>
        <v>#DIV/0!</v>
      </c>
      <c r="L12" s="156" t="e">
        <f t="shared" si="1"/>
        <v>#DIV/0!</v>
      </c>
      <c r="M12" s="156" t="e">
        <f t="shared" si="1"/>
        <v>#DIV/0!</v>
      </c>
      <c r="N12" s="156" t="e">
        <f t="shared" si="1"/>
        <v>#DIV/0!</v>
      </c>
      <c r="O12" s="157" t="e">
        <f t="shared" ref="O12:O19" si="2">AVERAGE(C12:N12)</f>
        <v>#DIV/0!</v>
      </c>
      <c r="P12" s="153"/>
      <c r="Q12" s="281"/>
      <c r="R12" s="153" t="s">
        <v>351</v>
      </c>
      <c r="S12" s="153">
        <v>5</v>
      </c>
      <c r="T12" s="153">
        <v>2</v>
      </c>
      <c r="U12" s="153">
        <v>1</v>
      </c>
      <c r="V12" s="153">
        <v>0.5</v>
      </c>
      <c r="W12" s="153">
        <v>0.2</v>
      </c>
      <c r="X12" s="153"/>
      <c r="Y12" s="153"/>
      <c r="Z12" s="153"/>
      <c r="AA12" s="153" t="s">
        <v>352</v>
      </c>
      <c r="AB12" s="153" t="s">
        <v>353</v>
      </c>
      <c r="AC12" s="153"/>
      <c r="AD12" s="153"/>
    </row>
    <row r="13" spans="1:30" x14ac:dyDescent="0.35">
      <c r="A13" s="311" t="s">
        <v>354</v>
      </c>
      <c r="B13" s="153" t="s">
        <v>72</v>
      </c>
      <c r="C13" s="156" t="e">
        <f t="shared" ref="C13:N13" si="3">C3*$A$12</f>
        <v>#DIV/0!</v>
      </c>
      <c r="D13" s="156" t="e">
        <f t="shared" si="3"/>
        <v>#DIV/0!</v>
      </c>
      <c r="E13" s="156" t="e">
        <f t="shared" si="3"/>
        <v>#DIV/0!</v>
      </c>
      <c r="F13" s="156" t="e">
        <f t="shared" si="3"/>
        <v>#DIV/0!</v>
      </c>
      <c r="G13" s="156" t="e">
        <f t="shared" si="3"/>
        <v>#DIV/0!</v>
      </c>
      <c r="H13" s="156" t="e">
        <f t="shared" si="3"/>
        <v>#DIV/0!</v>
      </c>
      <c r="I13" s="156" t="e">
        <f t="shared" si="3"/>
        <v>#DIV/0!</v>
      </c>
      <c r="J13" s="156" t="e">
        <f t="shared" si="3"/>
        <v>#DIV/0!</v>
      </c>
      <c r="K13" s="156" t="e">
        <f t="shared" si="3"/>
        <v>#DIV/0!</v>
      </c>
      <c r="L13" s="156" t="e">
        <f t="shared" si="3"/>
        <v>#DIV/0!</v>
      </c>
      <c r="M13" s="156" t="e">
        <f t="shared" si="3"/>
        <v>#DIV/0!</v>
      </c>
      <c r="N13" s="156" t="e">
        <f t="shared" si="3"/>
        <v>#DIV/0!</v>
      </c>
      <c r="O13" s="157" t="e">
        <f t="shared" si="2"/>
        <v>#DIV/0!</v>
      </c>
      <c r="P13" s="153"/>
      <c r="Q13" s="281"/>
      <c r="R13" s="153" t="s">
        <v>263</v>
      </c>
      <c r="S13" s="153">
        <f>'QuantificationFluo Raw data'!B10</f>
        <v>0</v>
      </c>
      <c r="T13" s="153">
        <f>'QuantificationFluo Raw data'!D10</f>
        <v>0</v>
      </c>
      <c r="U13" s="153">
        <f>'QuantificationFluo Raw data'!F10</f>
        <v>0</v>
      </c>
      <c r="V13" s="153">
        <f>'QuantificationFluo Raw data'!H10</f>
        <v>0</v>
      </c>
      <c r="W13" s="153">
        <f>'QuantificationFluo Raw data'!J10</f>
        <v>0</v>
      </c>
      <c r="X13" s="153"/>
      <c r="Y13" s="153"/>
      <c r="Z13" s="153"/>
      <c r="AA13" s="153">
        <f>SLOPE(S13:W13,S12:W12)</f>
        <v>0</v>
      </c>
      <c r="AB13" s="153">
        <f>INTERCEPT(S13:W13,S12:W12)</f>
        <v>0</v>
      </c>
      <c r="AC13" s="153"/>
      <c r="AD13" s="153"/>
    </row>
    <row r="14" spans="1:30" x14ac:dyDescent="0.35">
      <c r="A14" s="281"/>
      <c r="B14" s="153" t="s">
        <v>85</v>
      </c>
      <c r="C14" s="156" t="e">
        <f t="shared" ref="C14:N14" si="4">C4*$A$12</f>
        <v>#DIV/0!</v>
      </c>
      <c r="D14" s="156" t="e">
        <f t="shared" si="4"/>
        <v>#DIV/0!</v>
      </c>
      <c r="E14" s="156" t="e">
        <f t="shared" si="4"/>
        <v>#DIV/0!</v>
      </c>
      <c r="F14" s="156" t="e">
        <f t="shared" si="4"/>
        <v>#DIV/0!</v>
      </c>
      <c r="G14" s="156" t="e">
        <f t="shared" si="4"/>
        <v>#DIV/0!</v>
      </c>
      <c r="H14" s="156" t="e">
        <f t="shared" si="4"/>
        <v>#DIV/0!</v>
      </c>
      <c r="I14" s="156" t="e">
        <f t="shared" si="4"/>
        <v>#DIV/0!</v>
      </c>
      <c r="J14" s="156" t="e">
        <f t="shared" si="4"/>
        <v>#DIV/0!</v>
      </c>
      <c r="K14" s="156" t="e">
        <f t="shared" si="4"/>
        <v>#DIV/0!</v>
      </c>
      <c r="L14" s="156" t="e">
        <f t="shared" si="4"/>
        <v>#DIV/0!</v>
      </c>
      <c r="M14" s="156" t="e">
        <f t="shared" si="4"/>
        <v>#DIV/0!</v>
      </c>
      <c r="N14" s="156" t="e">
        <f t="shared" si="4"/>
        <v>#DIV/0!</v>
      </c>
      <c r="O14" s="157" t="e">
        <f t="shared" si="2"/>
        <v>#DIV/0!</v>
      </c>
      <c r="P14" s="153"/>
      <c r="Q14" s="153"/>
      <c r="R14" s="153"/>
      <c r="S14" s="153"/>
      <c r="T14" s="153"/>
      <c r="U14" s="153"/>
    </row>
    <row r="15" spans="1:30" x14ac:dyDescent="0.35">
      <c r="A15" s="281"/>
      <c r="B15" s="153" t="s">
        <v>98</v>
      </c>
      <c r="C15" s="156" t="e">
        <f t="shared" ref="C15:N15" si="5">C5*$A$12</f>
        <v>#DIV/0!</v>
      </c>
      <c r="D15" s="156" t="e">
        <f t="shared" si="5"/>
        <v>#DIV/0!</v>
      </c>
      <c r="E15" s="156" t="e">
        <f t="shared" si="5"/>
        <v>#DIV/0!</v>
      </c>
      <c r="F15" s="156" t="e">
        <f t="shared" si="5"/>
        <v>#DIV/0!</v>
      </c>
      <c r="G15" s="156" t="e">
        <f t="shared" si="5"/>
        <v>#DIV/0!</v>
      </c>
      <c r="H15" s="156" t="e">
        <f t="shared" si="5"/>
        <v>#DIV/0!</v>
      </c>
      <c r="I15" s="156" t="e">
        <f t="shared" si="5"/>
        <v>#DIV/0!</v>
      </c>
      <c r="J15" s="156" t="e">
        <f t="shared" si="5"/>
        <v>#DIV/0!</v>
      </c>
      <c r="K15" s="156" t="e">
        <f t="shared" si="5"/>
        <v>#DIV/0!</v>
      </c>
      <c r="L15" s="156" t="e">
        <f t="shared" si="5"/>
        <v>#DIV/0!</v>
      </c>
      <c r="M15" s="156" t="e">
        <f t="shared" si="5"/>
        <v>#DIV/0!</v>
      </c>
      <c r="N15" s="156" t="e">
        <f t="shared" si="5"/>
        <v>#DIV/0!</v>
      </c>
      <c r="O15" s="157" t="e">
        <f t="shared" si="2"/>
        <v>#DIV/0!</v>
      </c>
      <c r="P15" s="153"/>
      <c r="Q15" s="153"/>
      <c r="R15" s="153"/>
      <c r="S15" s="153"/>
      <c r="T15" s="153"/>
      <c r="U15" s="153"/>
    </row>
    <row r="16" spans="1:30" x14ac:dyDescent="0.35">
      <c r="A16" s="281"/>
      <c r="B16" s="153" t="s">
        <v>111</v>
      </c>
      <c r="C16" s="156" t="e">
        <f t="shared" ref="C16:N16" si="6">C6*$A$12</f>
        <v>#DIV/0!</v>
      </c>
      <c r="D16" s="156" t="e">
        <f t="shared" si="6"/>
        <v>#DIV/0!</v>
      </c>
      <c r="E16" s="156" t="e">
        <f t="shared" si="6"/>
        <v>#DIV/0!</v>
      </c>
      <c r="F16" s="156" t="e">
        <f t="shared" si="6"/>
        <v>#DIV/0!</v>
      </c>
      <c r="G16" s="156" t="e">
        <f t="shared" si="6"/>
        <v>#DIV/0!</v>
      </c>
      <c r="H16" s="156" t="e">
        <f t="shared" si="6"/>
        <v>#DIV/0!</v>
      </c>
      <c r="I16" s="156" t="e">
        <f t="shared" si="6"/>
        <v>#DIV/0!</v>
      </c>
      <c r="J16" s="156" t="e">
        <f t="shared" si="6"/>
        <v>#DIV/0!</v>
      </c>
      <c r="K16" s="156" t="e">
        <f t="shared" si="6"/>
        <v>#DIV/0!</v>
      </c>
      <c r="L16" s="156" t="e">
        <f t="shared" si="6"/>
        <v>#DIV/0!</v>
      </c>
      <c r="M16" s="156" t="e">
        <f t="shared" si="6"/>
        <v>#DIV/0!</v>
      </c>
      <c r="N16" s="156" t="e">
        <f t="shared" si="6"/>
        <v>#DIV/0!</v>
      </c>
      <c r="O16" s="157" t="e">
        <f t="shared" si="2"/>
        <v>#DIV/0!</v>
      </c>
      <c r="P16" s="153"/>
      <c r="Q16" s="153"/>
      <c r="R16" s="153"/>
      <c r="S16" s="153"/>
      <c r="T16" s="153"/>
      <c r="U16" s="153"/>
    </row>
    <row r="17" spans="1:21" x14ac:dyDescent="0.35">
      <c r="A17" s="281"/>
      <c r="B17" s="153" t="s">
        <v>124</v>
      </c>
      <c r="C17" s="156" t="e">
        <f t="shared" ref="C17:N17" si="7">C7*$A$12</f>
        <v>#DIV/0!</v>
      </c>
      <c r="D17" s="156" t="e">
        <f t="shared" si="7"/>
        <v>#DIV/0!</v>
      </c>
      <c r="E17" s="156" t="e">
        <f t="shared" si="7"/>
        <v>#DIV/0!</v>
      </c>
      <c r="F17" s="156" t="e">
        <f t="shared" si="7"/>
        <v>#DIV/0!</v>
      </c>
      <c r="G17" s="156" t="e">
        <f t="shared" si="7"/>
        <v>#DIV/0!</v>
      </c>
      <c r="H17" s="156" t="e">
        <f t="shared" si="7"/>
        <v>#DIV/0!</v>
      </c>
      <c r="I17" s="156" t="e">
        <f t="shared" si="7"/>
        <v>#DIV/0!</v>
      </c>
      <c r="J17" s="156" t="e">
        <f t="shared" si="7"/>
        <v>#DIV/0!</v>
      </c>
      <c r="K17" s="156" t="e">
        <f t="shared" si="7"/>
        <v>#DIV/0!</v>
      </c>
      <c r="L17" s="156" t="e">
        <f t="shared" si="7"/>
        <v>#DIV/0!</v>
      </c>
      <c r="M17" s="156" t="e">
        <f t="shared" si="7"/>
        <v>#DIV/0!</v>
      </c>
      <c r="N17" s="156" t="e">
        <f t="shared" si="7"/>
        <v>#DIV/0!</v>
      </c>
      <c r="O17" s="157" t="e">
        <f t="shared" si="2"/>
        <v>#DIV/0!</v>
      </c>
      <c r="P17" s="153"/>
      <c r="Q17" s="153"/>
      <c r="R17" s="153"/>
      <c r="S17" s="153"/>
      <c r="T17" s="153"/>
      <c r="U17" s="153"/>
    </row>
    <row r="18" spans="1:21" x14ac:dyDescent="0.35">
      <c r="A18" s="281"/>
      <c r="B18" s="153" t="s">
        <v>137</v>
      </c>
      <c r="C18" s="156" t="e">
        <f t="shared" ref="C18:N18" si="8">C8*$A$12</f>
        <v>#DIV/0!</v>
      </c>
      <c r="D18" s="156" t="e">
        <f t="shared" si="8"/>
        <v>#DIV/0!</v>
      </c>
      <c r="E18" s="156" t="e">
        <f t="shared" si="8"/>
        <v>#DIV/0!</v>
      </c>
      <c r="F18" s="156" t="e">
        <f t="shared" si="8"/>
        <v>#DIV/0!</v>
      </c>
      <c r="G18" s="156" t="e">
        <f t="shared" si="8"/>
        <v>#DIV/0!</v>
      </c>
      <c r="H18" s="156" t="e">
        <f t="shared" si="8"/>
        <v>#DIV/0!</v>
      </c>
      <c r="I18" s="156" t="e">
        <f t="shared" si="8"/>
        <v>#DIV/0!</v>
      </c>
      <c r="J18" s="156" t="e">
        <f t="shared" si="8"/>
        <v>#DIV/0!</v>
      </c>
      <c r="K18" s="156" t="e">
        <f t="shared" si="8"/>
        <v>#DIV/0!</v>
      </c>
      <c r="L18" s="156" t="e">
        <f t="shared" si="8"/>
        <v>#DIV/0!</v>
      </c>
      <c r="M18" s="156" t="e">
        <f t="shared" si="8"/>
        <v>#DIV/0!</v>
      </c>
      <c r="N18" s="156" t="e">
        <f t="shared" si="8"/>
        <v>#DIV/0!</v>
      </c>
      <c r="O18" s="157" t="e">
        <f t="shared" si="2"/>
        <v>#DIV/0!</v>
      </c>
      <c r="P18" s="153"/>
      <c r="Q18" s="153"/>
      <c r="R18" s="153"/>
      <c r="S18" s="153"/>
      <c r="T18" s="153"/>
      <c r="U18" s="153"/>
    </row>
    <row r="19" spans="1:21" x14ac:dyDescent="0.35">
      <c r="A19" s="281"/>
      <c r="B19" s="153" t="s">
        <v>150</v>
      </c>
      <c r="C19" s="156" t="e">
        <f t="shared" ref="C19:N19" si="9">C9*$A$12</f>
        <v>#DIV/0!</v>
      </c>
      <c r="D19" s="156" t="e">
        <f t="shared" si="9"/>
        <v>#DIV/0!</v>
      </c>
      <c r="E19" s="156" t="e">
        <f t="shared" si="9"/>
        <v>#DIV/0!</v>
      </c>
      <c r="F19" s="156" t="e">
        <f t="shared" si="9"/>
        <v>#DIV/0!</v>
      </c>
      <c r="G19" s="156" t="e">
        <f t="shared" si="9"/>
        <v>#DIV/0!</v>
      </c>
      <c r="H19" s="156" t="e">
        <f t="shared" si="9"/>
        <v>#DIV/0!</v>
      </c>
      <c r="I19" s="156" t="e">
        <f t="shared" si="9"/>
        <v>#DIV/0!</v>
      </c>
      <c r="J19" s="156" t="e">
        <f t="shared" si="9"/>
        <v>#DIV/0!</v>
      </c>
      <c r="K19" s="156" t="e">
        <f t="shared" si="9"/>
        <v>#DIV/0!</v>
      </c>
      <c r="L19" s="156" t="e">
        <f t="shared" si="9"/>
        <v>#DIV/0!</v>
      </c>
      <c r="M19" s="156" t="e">
        <f t="shared" si="9"/>
        <v>#DIV/0!</v>
      </c>
      <c r="N19" s="156" t="e">
        <f t="shared" si="9"/>
        <v>#DIV/0!</v>
      </c>
      <c r="O19" s="157" t="e">
        <f t="shared" si="2"/>
        <v>#DIV/0!</v>
      </c>
      <c r="P19" s="153"/>
      <c r="Q19" s="153"/>
      <c r="R19" s="153"/>
      <c r="S19" s="153"/>
      <c r="T19" s="153"/>
      <c r="U19" s="153"/>
    </row>
    <row r="20" spans="1:21" x14ac:dyDescent="0.35">
      <c r="A20" s="153"/>
      <c r="B20" s="153"/>
      <c r="C20" s="153"/>
      <c r="D20" s="153"/>
      <c r="E20" s="153"/>
      <c r="F20" s="153"/>
      <c r="G20" s="153"/>
      <c r="H20" s="153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</row>
    <row r="21" spans="1:21" ht="29" customHeight="1" x14ac:dyDescent="0.35">
      <c r="A21" s="153"/>
      <c r="B21" s="155" t="s">
        <v>355</v>
      </c>
      <c r="C21" s="157" t="e">
        <f t="shared" ref="C21:N21" si="10">AVERAGE(C12:C19)</f>
        <v>#DIV/0!</v>
      </c>
      <c r="D21" s="157" t="e">
        <f t="shared" si="10"/>
        <v>#DIV/0!</v>
      </c>
      <c r="E21" s="157" t="e">
        <f t="shared" si="10"/>
        <v>#DIV/0!</v>
      </c>
      <c r="F21" s="157" t="e">
        <f t="shared" si="10"/>
        <v>#DIV/0!</v>
      </c>
      <c r="G21" s="157" t="e">
        <f t="shared" si="10"/>
        <v>#DIV/0!</v>
      </c>
      <c r="H21" s="157" t="e">
        <f t="shared" si="10"/>
        <v>#DIV/0!</v>
      </c>
      <c r="I21" s="157" t="e">
        <f t="shared" si="10"/>
        <v>#DIV/0!</v>
      </c>
      <c r="J21" s="157" t="e">
        <f t="shared" si="10"/>
        <v>#DIV/0!</v>
      </c>
      <c r="K21" s="157" t="e">
        <f t="shared" si="10"/>
        <v>#DIV/0!</v>
      </c>
      <c r="L21" s="157" t="e">
        <f t="shared" si="10"/>
        <v>#DIV/0!</v>
      </c>
      <c r="M21" s="157" t="e">
        <f t="shared" si="10"/>
        <v>#DIV/0!</v>
      </c>
      <c r="N21" s="157" t="e">
        <f t="shared" si="10"/>
        <v>#DIV/0!</v>
      </c>
      <c r="O21" s="153"/>
      <c r="P21" s="153"/>
      <c r="Q21" s="153"/>
      <c r="R21" s="153"/>
      <c r="S21" s="153"/>
      <c r="T21" s="153"/>
      <c r="U21" s="153"/>
    </row>
    <row r="22" spans="1:21" x14ac:dyDescent="0.35">
      <c r="A22" s="153"/>
      <c r="B22" s="153"/>
      <c r="C22" s="154"/>
      <c r="D22" s="154"/>
      <c r="E22" s="154"/>
      <c r="F22" s="154"/>
      <c r="G22" s="154"/>
      <c r="H22" s="154"/>
      <c r="I22" s="154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</row>
    <row r="23" spans="1:21" ht="29" customHeight="1" x14ac:dyDescent="0.35">
      <c r="A23" s="155" t="s">
        <v>356</v>
      </c>
      <c r="B23" s="156" t="e">
        <f>AVERAGE(C12:N19)</f>
        <v>#DIV/0!</v>
      </c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</row>
    <row r="24" spans="1:21" x14ac:dyDescent="0.35">
      <c r="A24" s="153" t="s">
        <v>46</v>
      </c>
      <c r="B24" s="156" t="e">
        <f>(_xlfn.STDEV.P(C12:N19))/B23*100</f>
        <v>#DIV/0!</v>
      </c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</row>
    <row r="25" spans="1:21" x14ac:dyDescent="0.35">
      <c r="A25" s="153" t="s">
        <v>357</v>
      </c>
      <c r="B25" s="156" t="e">
        <f>MIN(C12:N19)</f>
        <v>#DIV/0!</v>
      </c>
      <c r="C25" s="153"/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</row>
    <row r="26" spans="1:21" x14ac:dyDescent="0.35">
      <c r="A26" s="153" t="s">
        <v>358</v>
      </c>
      <c r="B26" s="156" t="e">
        <f>MAX(C12:N19)</f>
        <v>#DIV/0!</v>
      </c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</row>
    <row r="27" spans="1:21" x14ac:dyDescent="0.35">
      <c r="A27" s="153"/>
      <c r="B27" s="153"/>
      <c r="C27" s="153"/>
      <c r="D27" s="153"/>
      <c r="E27" s="153"/>
      <c r="F27" s="153"/>
      <c r="G27" s="153"/>
      <c r="H27" s="153"/>
      <c r="I27" s="153"/>
      <c r="J27" s="153"/>
      <c r="K27" s="153"/>
      <c r="L27" s="153"/>
      <c r="M27" s="153"/>
      <c r="N27" s="153"/>
      <c r="O27" s="153"/>
      <c r="P27" s="153"/>
      <c r="Q27" s="153"/>
      <c r="R27" s="153"/>
      <c r="S27" s="153"/>
      <c r="T27" s="153"/>
      <c r="U27" s="153"/>
    </row>
    <row r="28" spans="1:21" x14ac:dyDescent="0.35">
      <c r="A28" s="153"/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</row>
    <row r="29" spans="1:21" x14ac:dyDescent="0.35">
      <c r="A29" s="153"/>
      <c r="B29" s="153"/>
      <c r="C29" s="153"/>
      <c r="D29" s="153"/>
      <c r="E29" s="153"/>
      <c r="F29" s="153"/>
      <c r="G29" s="153"/>
      <c r="H29" s="153"/>
      <c r="I29" s="153"/>
      <c r="J29" s="153"/>
      <c r="K29" s="153"/>
      <c r="L29" s="153"/>
      <c r="M29" s="153"/>
      <c r="N29" s="153"/>
      <c r="O29" s="153"/>
      <c r="P29" s="153"/>
      <c r="Q29" s="153"/>
      <c r="R29" s="153"/>
      <c r="S29" s="153"/>
      <c r="T29" s="153"/>
      <c r="U29" s="153"/>
    </row>
    <row r="30" spans="1:21" x14ac:dyDescent="0.35">
      <c r="A30" s="153"/>
      <c r="B30" s="153"/>
      <c r="C30" s="153"/>
      <c r="D30" s="153"/>
      <c r="E30" s="153"/>
      <c r="F30" s="153"/>
      <c r="G30" s="153"/>
      <c r="H30" s="153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</row>
    <row r="31" spans="1:21" x14ac:dyDescent="0.35">
      <c r="A31" s="153"/>
      <c r="B31" s="153"/>
      <c r="C31" s="153"/>
      <c r="D31" s="153"/>
      <c r="E31" s="153"/>
      <c r="F31" s="153"/>
      <c r="G31" s="153"/>
      <c r="H31" s="153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</row>
    <row r="32" spans="1:21" x14ac:dyDescent="0.35">
      <c r="A32" s="153"/>
      <c r="B32" s="153"/>
      <c r="C32" s="153"/>
      <c r="D32" s="153"/>
      <c r="E32" s="153"/>
      <c r="F32" s="153"/>
      <c r="G32" s="153"/>
      <c r="H32" s="153"/>
      <c r="I32" s="153"/>
      <c r="J32" s="153"/>
      <c r="K32" s="153"/>
      <c r="L32" s="153"/>
      <c r="M32" s="153"/>
      <c r="N32" s="153"/>
      <c r="O32" s="153"/>
      <c r="P32" s="153"/>
      <c r="Q32" s="153"/>
      <c r="R32" s="153"/>
      <c r="S32" s="153"/>
      <c r="T32" s="153"/>
      <c r="U32" s="153"/>
    </row>
    <row r="33" spans="1:21" x14ac:dyDescent="0.35">
      <c r="A33" s="153"/>
      <c r="B33" s="153"/>
      <c r="C33" s="153"/>
      <c r="D33" s="153"/>
      <c r="E33" s="153"/>
      <c r="F33" s="153"/>
      <c r="G33" s="153"/>
      <c r="H33" s="153"/>
      <c r="I33" s="153"/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</row>
    <row r="34" spans="1:21" x14ac:dyDescent="0.35">
      <c r="A34" s="153"/>
      <c r="B34" s="153"/>
      <c r="C34" s="153"/>
      <c r="D34" s="153"/>
      <c r="E34" s="153"/>
      <c r="F34" s="153"/>
      <c r="G34" s="153"/>
      <c r="H34" s="153"/>
      <c r="I34" s="153"/>
      <c r="J34" s="153"/>
      <c r="K34" s="153"/>
      <c r="L34" s="153"/>
      <c r="M34" s="153"/>
      <c r="N34" s="153"/>
      <c r="O34" s="153"/>
      <c r="P34" s="153"/>
      <c r="Q34" s="153"/>
      <c r="R34" s="153"/>
      <c r="S34" s="153"/>
      <c r="T34" s="153"/>
      <c r="U34" s="153"/>
    </row>
    <row r="35" spans="1:21" x14ac:dyDescent="0.35">
      <c r="A35" s="153"/>
      <c r="B35" s="153"/>
      <c r="C35" s="153"/>
      <c r="D35" s="153"/>
      <c r="E35" s="153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Q35" s="153"/>
      <c r="R35" s="153"/>
      <c r="S35" s="153"/>
      <c r="T35" s="153"/>
      <c r="U35" s="153"/>
    </row>
    <row r="36" spans="1:21" x14ac:dyDescent="0.35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</row>
    <row r="37" spans="1:21" x14ac:dyDescent="0.35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</row>
    <row r="38" spans="1:21" x14ac:dyDescent="0.35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3"/>
      <c r="Q38" s="153"/>
      <c r="R38" s="153"/>
      <c r="S38" s="153"/>
      <c r="T38" s="153"/>
      <c r="U38" s="153"/>
    </row>
    <row r="39" spans="1:21" x14ac:dyDescent="0.35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</row>
    <row r="40" spans="1:21" x14ac:dyDescent="0.35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</row>
    <row r="41" spans="1:21" x14ac:dyDescent="0.35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U41" s="153"/>
    </row>
    <row r="42" spans="1:21" x14ac:dyDescent="0.35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Q42" s="153"/>
      <c r="R42" s="153"/>
      <c r="S42" s="153"/>
      <c r="T42" s="153"/>
      <c r="U42" s="153"/>
    </row>
    <row r="43" spans="1:21" x14ac:dyDescent="0.35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3"/>
      <c r="Q43" s="153"/>
      <c r="R43" s="153"/>
      <c r="S43" s="153"/>
      <c r="T43" s="153"/>
      <c r="U43" s="153"/>
    </row>
    <row r="44" spans="1:21" x14ac:dyDescent="0.35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</row>
    <row r="45" spans="1:21" x14ac:dyDescent="0.35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</row>
    <row r="46" spans="1:21" x14ac:dyDescent="0.35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</row>
    <row r="47" spans="1:21" x14ac:dyDescent="0.35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</row>
    <row r="48" spans="1:21" x14ac:dyDescent="0.35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</row>
    <row r="49" spans="1:21" x14ac:dyDescent="0.35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</row>
    <row r="50" spans="1:21" x14ac:dyDescent="0.35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</row>
    <row r="51" spans="1:21" x14ac:dyDescent="0.35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</row>
    <row r="52" spans="1:21" x14ac:dyDescent="0.35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</row>
    <row r="53" spans="1:21" x14ac:dyDescent="0.35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</row>
    <row r="54" spans="1:21" x14ac:dyDescent="0.35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</row>
    <row r="55" spans="1:21" x14ac:dyDescent="0.35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</row>
    <row r="56" spans="1:21" x14ac:dyDescent="0.35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</row>
    <row r="57" spans="1:21" x14ac:dyDescent="0.35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</row>
    <row r="58" spans="1:21" x14ac:dyDescent="0.35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</row>
  </sheetData>
  <mergeCells count="4">
    <mergeCell ref="A2:A9"/>
    <mergeCell ref="Q2:Q9"/>
    <mergeCell ref="Q11:Q13"/>
    <mergeCell ref="A13:A19"/>
  </mergeCells>
  <conditionalFormatting sqref="C2:N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:N1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AD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5"/>
  <dimension ref="A1:AD49"/>
  <sheetViews>
    <sheetView topLeftCell="A4" zoomScale="55" zoomScaleNormal="55" workbookViewId="0">
      <selection activeCell="Z33" sqref="Z33"/>
    </sheetView>
  </sheetViews>
  <sheetFormatPr baseColWidth="10" defaultRowHeight="14.5" x14ac:dyDescent="0.35"/>
  <sheetData>
    <row r="1" spans="1:28" ht="18.5" customHeight="1" x14ac:dyDescent="0.35">
      <c r="A1" s="312" t="s">
        <v>359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O1" s="77"/>
      <c r="P1" s="312" t="s">
        <v>360</v>
      </c>
      <c r="Q1" s="281"/>
      <c r="R1" s="281"/>
      <c r="S1" s="281"/>
      <c r="T1" s="281"/>
      <c r="U1" s="281"/>
      <c r="V1" s="281"/>
      <c r="W1" s="281"/>
      <c r="X1" s="281"/>
      <c r="Y1" s="281"/>
      <c r="Z1" s="281"/>
      <c r="AA1" s="281"/>
      <c r="AB1" s="281"/>
    </row>
    <row r="2" spans="1:28" x14ac:dyDescent="0.35">
      <c r="O2" s="77"/>
    </row>
    <row r="3" spans="1:28" x14ac:dyDescent="0.35">
      <c r="A3" s="78" t="s">
        <v>361</v>
      </c>
      <c r="D3" s="79" t="s">
        <v>362</v>
      </c>
      <c r="O3" s="77"/>
      <c r="P3" s="80" t="s">
        <v>363</v>
      </c>
    </row>
    <row r="4" spans="1:28" x14ac:dyDescent="0.35">
      <c r="B4" s="81" t="s">
        <v>364</v>
      </c>
      <c r="C4" s="82">
        <v>5.8000000000000003E-2</v>
      </c>
      <c r="O4" s="77"/>
    </row>
    <row r="5" spans="1:28" x14ac:dyDescent="0.35">
      <c r="A5" s="83" t="s">
        <v>365</v>
      </c>
      <c r="B5" s="84">
        <v>1</v>
      </c>
      <c r="C5" s="84">
        <v>2</v>
      </c>
      <c r="D5" s="84">
        <v>3</v>
      </c>
      <c r="E5" s="84">
        <v>4</v>
      </c>
      <c r="F5" s="84">
        <v>5</v>
      </c>
      <c r="G5" s="84">
        <v>6</v>
      </c>
      <c r="H5" s="84">
        <v>7</v>
      </c>
      <c r="I5" s="84">
        <v>8</v>
      </c>
      <c r="J5" s="84">
        <v>9</v>
      </c>
      <c r="K5" s="84">
        <v>10</v>
      </c>
      <c r="L5" s="84">
        <v>11</v>
      </c>
      <c r="M5" s="84">
        <v>12</v>
      </c>
      <c r="O5" s="77"/>
      <c r="Q5" s="85">
        <v>1</v>
      </c>
      <c r="R5" s="85">
        <v>2</v>
      </c>
      <c r="S5" s="85">
        <v>3</v>
      </c>
      <c r="T5" s="85">
        <v>4</v>
      </c>
      <c r="U5" s="85">
        <v>5</v>
      </c>
      <c r="V5" s="85">
        <v>6</v>
      </c>
      <c r="W5" s="85">
        <v>7</v>
      </c>
      <c r="X5" s="85">
        <v>8</v>
      </c>
      <c r="Y5" s="85">
        <v>9</v>
      </c>
      <c r="Z5" s="85">
        <v>10</v>
      </c>
      <c r="AA5" s="85">
        <v>11</v>
      </c>
      <c r="AB5" s="85">
        <v>12</v>
      </c>
    </row>
    <row r="6" spans="1:28" x14ac:dyDescent="0.35">
      <c r="A6" s="84" t="s">
        <v>59</v>
      </c>
      <c r="B6" s="160">
        <f>'UV raw data'!C38</f>
        <v>0</v>
      </c>
      <c r="C6" s="160">
        <f>'UV raw data'!D38</f>
        <v>0</v>
      </c>
      <c r="D6" s="160">
        <f>'UV raw data'!E38</f>
        <v>0</v>
      </c>
      <c r="E6" s="160">
        <f>'UV raw data'!F38</f>
        <v>0</v>
      </c>
      <c r="F6" s="160">
        <f>'UV raw data'!G38</f>
        <v>0</v>
      </c>
      <c r="G6" s="160">
        <f>'UV raw data'!H38</f>
        <v>0</v>
      </c>
      <c r="H6" s="160">
        <f>'UV raw data'!I38</f>
        <v>0</v>
      </c>
      <c r="I6" s="160">
        <f>'UV raw data'!J38</f>
        <v>0</v>
      </c>
      <c r="J6" s="160">
        <f>'UV raw data'!K38</f>
        <v>0</v>
      </c>
      <c r="K6" s="160">
        <f>'UV raw data'!L38</f>
        <v>0</v>
      </c>
      <c r="L6" s="160">
        <f>'UV raw data'!M38</f>
        <v>0</v>
      </c>
      <c r="M6" s="160">
        <f>'UV raw data'!N38</f>
        <v>0</v>
      </c>
      <c r="O6" s="77"/>
      <c r="P6" s="84" t="s">
        <v>59</v>
      </c>
      <c r="Q6" s="86"/>
      <c r="R6" s="86"/>
      <c r="S6" s="86"/>
      <c r="T6" s="86"/>
      <c r="U6" s="86"/>
      <c r="V6" s="86"/>
      <c r="W6" s="86"/>
      <c r="X6" s="86"/>
      <c r="Y6" s="86"/>
      <c r="Z6" s="86"/>
      <c r="AA6" s="86"/>
      <c r="AB6" s="86"/>
    </row>
    <row r="7" spans="1:28" x14ac:dyDescent="0.35">
      <c r="A7" s="84" t="s">
        <v>72</v>
      </c>
      <c r="B7" s="160">
        <f>'UV raw data'!C39</f>
        <v>0</v>
      </c>
      <c r="C7" s="160">
        <f>'UV raw data'!D39</f>
        <v>0</v>
      </c>
      <c r="D7" s="160">
        <f>'UV raw data'!E39</f>
        <v>0</v>
      </c>
      <c r="E7" s="160">
        <f>'UV raw data'!F39</f>
        <v>0</v>
      </c>
      <c r="F7" s="160">
        <f>'UV raw data'!G39</f>
        <v>0</v>
      </c>
      <c r="G7" s="160">
        <f>'UV raw data'!H39</f>
        <v>0</v>
      </c>
      <c r="H7" s="160">
        <f>'UV raw data'!I39</f>
        <v>0</v>
      </c>
      <c r="I7" s="160">
        <f>'UV raw data'!J39</f>
        <v>0</v>
      </c>
      <c r="J7" s="160">
        <f>'UV raw data'!K39</f>
        <v>0</v>
      </c>
      <c r="K7" s="160">
        <f>'UV raw data'!L39</f>
        <v>0</v>
      </c>
      <c r="L7" s="160">
        <f>'UV raw data'!M39</f>
        <v>0</v>
      </c>
      <c r="M7" s="160">
        <f>'UV raw data'!N39</f>
        <v>0</v>
      </c>
      <c r="O7" s="77"/>
      <c r="P7" s="84" t="s">
        <v>72</v>
      </c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 x14ac:dyDescent="0.35">
      <c r="A8" s="84" t="s">
        <v>85</v>
      </c>
      <c r="B8" s="160">
        <f>'UV raw data'!C40</f>
        <v>0</v>
      </c>
      <c r="C8" s="160">
        <f>'UV raw data'!D40</f>
        <v>0</v>
      </c>
      <c r="D8" s="160">
        <f>'UV raw data'!E40</f>
        <v>0</v>
      </c>
      <c r="E8" s="160">
        <f>'UV raw data'!F40</f>
        <v>0</v>
      </c>
      <c r="F8" s="160">
        <f>'UV raw data'!G40</f>
        <v>0</v>
      </c>
      <c r="G8" s="160">
        <f>'UV raw data'!H40</f>
        <v>0</v>
      </c>
      <c r="H8" s="160">
        <f>'UV raw data'!I40</f>
        <v>0</v>
      </c>
      <c r="I8" s="160">
        <f>'UV raw data'!J40</f>
        <v>0</v>
      </c>
      <c r="J8" s="160">
        <f>'UV raw data'!K40</f>
        <v>0</v>
      </c>
      <c r="K8" s="160">
        <f>'UV raw data'!L40</f>
        <v>0</v>
      </c>
      <c r="L8" s="160">
        <f>'UV raw data'!M40</f>
        <v>0</v>
      </c>
      <c r="M8" s="160">
        <f>'UV raw data'!N40</f>
        <v>0</v>
      </c>
      <c r="O8" s="77"/>
      <c r="P8" s="84" t="s">
        <v>85</v>
      </c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</row>
    <row r="9" spans="1:28" x14ac:dyDescent="0.35">
      <c r="A9" s="84" t="s">
        <v>98</v>
      </c>
      <c r="B9" s="160">
        <f>'UV raw data'!C41</f>
        <v>0</v>
      </c>
      <c r="C9" s="160">
        <f>'UV raw data'!D41</f>
        <v>0</v>
      </c>
      <c r="D9" s="160">
        <f>'UV raw data'!E41</f>
        <v>0</v>
      </c>
      <c r="E9" s="160">
        <f>'UV raw data'!F41</f>
        <v>0</v>
      </c>
      <c r="F9" s="160">
        <f>'UV raw data'!G41</f>
        <v>0</v>
      </c>
      <c r="G9" s="160">
        <f>'UV raw data'!H41</f>
        <v>0</v>
      </c>
      <c r="H9" s="160">
        <f>'UV raw data'!I41</f>
        <v>0</v>
      </c>
      <c r="I9" s="160">
        <f>'UV raw data'!J41</f>
        <v>0</v>
      </c>
      <c r="J9" s="160">
        <f>'UV raw data'!K41</f>
        <v>0</v>
      </c>
      <c r="K9" s="160">
        <f>'UV raw data'!L41</f>
        <v>0</v>
      </c>
      <c r="L9" s="160">
        <f>'UV raw data'!M41</f>
        <v>0</v>
      </c>
      <c r="M9" s="160">
        <f>'UV raw data'!N41</f>
        <v>0</v>
      </c>
      <c r="O9" s="77"/>
      <c r="P9" s="84" t="s">
        <v>98</v>
      </c>
      <c r="Q9" s="86"/>
      <c r="R9" s="86"/>
      <c r="S9" s="86"/>
      <c r="T9" s="86"/>
      <c r="U9" s="86"/>
      <c r="V9" s="86"/>
      <c r="W9" s="86"/>
      <c r="X9" s="86"/>
      <c r="Y9" s="86"/>
      <c r="Z9" s="86"/>
      <c r="AA9" s="86"/>
      <c r="AB9" s="86"/>
    </row>
    <row r="10" spans="1:28" x14ac:dyDescent="0.35">
      <c r="A10" s="84" t="s">
        <v>111</v>
      </c>
      <c r="B10" s="160">
        <f>'UV raw data'!C42</f>
        <v>0</v>
      </c>
      <c r="C10" s="160">
        <f>'UV raw data'!D42</f>
        <v>0</v>
      </c>
      <c r="D10" s="160">
        <f>'UV raw data'!E42</f>
        <v>0</v>
      </c>
      <c r="E10" s="160">
        <f>'UV raw data'!F42</f>
        <v>0</v>
      </c>
      <c r="F10" s="160">
        <f>'UV raw data'!G42</f>
        <v>0</v>
      </c>
      <c r="G10" s="160">
        <f>'UV raw data'!H42</f>
        <v>0</v>
      </c>
      <c r="H10" s="160">
        <f>'UV raw data'!I42</f>
        <v>0</v>
      </c>
      <c r="I10" s="160">
        <f>'UV raw data'!J42</f>
        <v>0</v>
      </c>
      <c r="J10" s="160">
        <f>'UV raw data'!K42</f>
        <v>0</v>
      </c>
      <c r="K10" s="160">
        <f>'UV raw data'!L42</f>
        <v>0</v>
      </c>
      <c r="L10" s="160">
        <f>'UV raw data'!M42</f>
        <v>0</v>
      </c>
      <c r="M10" s="160">
        <f>'UV raw data'!N42</f>
        <v>0</v>
      </c>
      <c r="O10" s="77"/>
      <c r="P10" s="84" t="s">
        <v>111</v>
      </c>
      <c r="Q10" s="86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</row>
    <row r="11" spans="1:28" x14ac:dyDescent="0.35">
      <c r="A11" s="84" t="s">
        <v>124</v>
      </c>
      <c r="B11" s="160">
        <f>'UV raw data'!C43</f>
        <v>0</v>
      </c>
      <c r="C11" s="160">
        <f>'UV raw data'!D43</f>
        <v>0</v>
      </c>
      <c r="D11" s="160">
        <f>'UV raw data'!E43</f>
        <v>0</v>
      </c>
      <c r="E11" s="160">
        <f>'UV raw data'!F43</f>
        <v>0</v>
      </c>
      <c r="F11" s="160">
        <f>'UV raw data'!G43</f>
        <v>0</v>
      </c>
      <c r="G11" s="160">
        <f>'UV raw data'!H43</f>
        <v>0</v>
      </c>
      <c r="H11" s="160">
        <f>'UV raw data'!I43</f>
        <v>0</v>
      </c>
      <c r="I11" s="160">
        <f>'UV raw data'!J43</f>
        <v>0</v>
      </c>
      <c r="J11" s="160">
        <f>'UV raw data'!K43</f>
        <v>0</v>
      </c>
      <c r="K11" s="160">
        <f>'UV raw data'!L43</f>
        <v>0</v>
      </c>
      <c r="L11" s="160">
        <f>'UV raw data'!M43</f>
        <v>0</v>
      </c>
      <c r="M11" s="160">
        <f>'UV raw data'!N43</f>
        <v>0</v>
      </c>
      <c r="O11" s="77"/>
      <c r="P11" s="84" t="s">
        <v>124</v>
      </c>
      <c r="Q11" s="86"/>
      <c r="R11" s="86"/>
      <c r="S11" s="86"/>
      <c r="T11" s="86"/>
      <c r="U11" s="86"/>
      <c r="V11" s="86"/>
      <c r="W11" s="86"/>
      <c r="X11" s="86"/>
      <c r="Y11" s="86"/>
      <c r="Z11" s="86"/>
      <c r="AA11" s="86"/>
      <c r="AB11" s="86"/>
    </row>
    <row r="12" spans="1:28" x14ac:dyDescent="0.35">
      <c r="A12" s="84" t="s">
        <v>137</v>
      </c>
      <c r="B12" s="160">
        <f>'UV raw data'!C44</f>
        <v>0</v>
      </c>
      <c r="C12" s="160">
        <f>'UV raw data'!D44</f>
        <v>0</v>
      </c>
      <c r="D12" s="160">
        <f>'UV raw data'!E44</f>
        <v>0</v>
      </c>
      <c r="E12" s="160">
        <f>'UV raw data'!F44</f>
        <v>0</v>
      </c>
      <c r="F12" s="160">
        <f>'UV raw data'!G44</f>
        <v>0</v>
      </c>
      <c r="G12" s="160">
        <f>'UV raw data'!H44</f>
        <v>0</v>
      </c>
      <c r="H12" s="160">
        <f>'UV raw data'!I44</f>
        <v>0</v>
      </c>
      <c r="I12" s="160">
        <f>'UV raw data'!J44</f>
        <v>0</v>
      </c>
      <c r="J12" s="160">
        <f>'UV raw data'!K44</f>
        <v>0</v>
      </c>
      <c r="K12" s="160">
        <f>'UV raw data'!L44</f>
        <v>0</v>
      </c>
      <c r="L12" s="160">
        <f>'UV raw data'!M44</f>
        <v>0</v>
      </c>
      <c r="M12" s="160">
        <f>'UV raw data'!N44</f>
        <v>0</v>
      </c>
      <c r="O12" s="77"/>
      <c r="P12" s="84" t="s">
        <v>137</v>
      </c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</row>
    <row r="13" spans="1:28" x14ac:dyDescent="0.35">
      <c r="A13" s="84" t="s">
        <v>150</v>
      </c>
      <c r="B13" s="160">
        <f>'UV raw data'!C45</f>
        <v>0</v>
      </c>
      <c r="C13" s="160">
        <f>'UV raw data'!D45</f>
        <v>0</v>
      </c>
      <c r="D13" s="160">
        <f>'UV raw data'!E45</f>
        <v>0</v>
      </c>
      <c r="E13" s="160">
        <f>'UV raw data'!F45</f>
        <v>0</v>
      </c>
      <c r="F13" s="160">
        <f>'UV raw data'!G45</f>
        <v>0</v>
      </c>
      <c r="G13" s="160">
        <f>'UV raw data'!H45</f>
        <v>0</v>
      </c>
      <c r="H13" s="160">
        <f>'UV raw data'!I45</f>
        <v>0</v>
      </c>
      <c r="I13" s="160">
        <f>'UV raw data'!J45</f>
        <v>0</v>
      </c>
      <c r="J13" s="160">
        <f>'UV raw data'!K45</f>
        <v>0</v>
      </c>
      <c r="K13" s="160">
        <f>'UV raw data'!L45</f>
        <v>0</v>
      </c>
      <c r="L13" s="160">
        <f>'UV raw data'!M45</f>
        <v>0</v>
      </c>
      <c r="M13" s="160">
        <f>'UV raw data'!N45</f>
        <v>0</v>
      </c>
      <c r="O13" s="77"/>
      <c r="P13" s="84" t="s">
        <v>150</v>
      </c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</row>
    <row r="14" spans="1:28" x14ac:dyDescent="0.35">
      <c r="O14" s="77"/>
    </row>
    <row r="15" spans="1:28" x14ac:dyDescent="0.35">
      <c r="A15" s="83" t="s">
        <v>366</v>
      </c>
      <c r="B15" s="84">
        <v>1</v>
      </c>
      <c r="C15" s="84">
        <v>2</v>
      </c>
      <c r="D15" s="84">
        <v>3</v>
      </c>
      <c r="E15" s="84">
        <v>4</v>
      </c>
      <c r="F15" s="84">
        <v>5</v>
      </c>
      <c r="G15" s="84">
        <v>6</v>
      </c>
      <c r="H15" s="84">
        <v>7</v>
      </c>
      <c r="I15" s="84">
        <v>8</v>
      </c>
      <c r="J15" s="84">
        <v>9</v>
      </c>
      <c r="K15" s="84">
        <v>10</v>
      </c>
      <c r="L15" s="84">
        <v>11</v>
      </c>
      <c r="M15" s="84">
        <v>12</v>
      </c>
      <c r="O15" s="77"/>
      <c r="P15" s="80" t="s">
        <v>367</v>
      </c>
    </row>
    <row r="16" spans="1:28" x14ac:dyDescent="0.35">
      <c r="A16" s="84" t="s">
        <v>59</v>
      </c>
      <c r="B16" s="87">
        <f t="shared" ref="B16:M16" si="0">B6-$C$4</f>
        <v>-5.8000000000000003E-2</v>
      </c>
      <c r="C16" s="87">
        <f t="shared" si="0"/>
        <v>-5.8000000000000003E-2</v>
      </c>
      <c r="D16" s="87">
        <f t="shared" si="0"/>
        <v>-5.8000000000000003E-2</v>
      </c>
      <c r="E16" s="87">
        <f t="shared" si="0"/>
        <v>-5.8000000000000003E-2</v>
      </c>
      <c r="F16" s="87">
        <f t="shared" si="0"/>
        <v>-5.8000000000000003E-2</v>
      </c>
      <c r="G16" s="87">
        <f t="shared" si="0"/>
        <v>-5.8000000000000003E-2</v>
      </c>
      <c r="H16" s="87">
        <f t="shared" si="0"/>
        <v>-5.8000000000000003E-2</v>
      </c>
      <c r="I16" s="87">
        <f t="shared" si="0"/>
        <v>-5.8000000000000003E-2</v>
      </c>
      <c r="J16" s="87">
        <f t="shared" si="0"/>
        <v>-5.8000000000000003E-2</v>
      </c>
      <c r="K16" s="87">
        <f t="shared" si="0"/>
        <v>-5.8000000000000003E-2</v>
      </c>
      <c r="L16" s="87">
        <f t="shared" si="0"/>
        <v>-5.8000000000000003E-2</v>
      </c>
      <c r="M16" s="87">
        <f t="shared" si="0"/>
        <v>-5.8000000000000003E-2</v>
      </c>
      <c r="O16" s="77"/>
    </row>
    <row r="17" spans="1:30" x14ac:dyDescent="0.35">
      <c r="A17" s="84" t="s">
        <v>72</v>
      </c>
      <c r="B17" s="87">
        <f t="shared" ref="B17:M17" si="1">B7-$C$4</f>
        <v>-5.8000000000000003E-2</v>
      </c>
      <c r="C17" s="87">
        <f t="shared" si="1"/>
        <v>-5.8000000000000003E-2</v>
      </c>
      <c r="D17" s="87">
        <f t="shared" si="1"/>
        <v>-5.8000000000000003E-2</v>
      </c>
      <c r="E17" s="87">
        <f t="shared" si="1"/>
        <v>-5.8000000000000003E-2</v>
      </c>
      <c r="F17" s="87">
        <f t="shared" si="1"/>
        <v>-5.8000000000000003E-2</v>
      </c>
      <c r="G17" s="87">
        <f t="shared" si="1"/>
        <v>-5.8000000000000003E-2</v>
      </c>
      <c r="H17" s="87">
        <f t="shared" si="1"/>
        <v>-5.8000000000000003E-2</v>
      </c>
      <c r="I17" s="87">
        <f t="shared" si="1"/>
        <v>-5.8000000000000003E-2</v>
      </c>
      <c r="J17" s="87">
        <f t="shared" si="1"/>
        <v>-5.8000000000000003E-2</v>
      </c>
      <c r="K17" s="87">
        <f t="shared" si="1"/>
        <v>-5.8000000000000003E-2</v>
      </c>
      <c r="L17" s="87">
        <f t="shared" si="1"/>
        <v>-5.8000000000000003E-2</v>
      </c>
      <c r="M17" s="87">
        <f t="shared" si="1"/>
        <v>-5.8000000000000003E-2</v>
      </c>
      <c r="O17" s="77"/>
      <c r="Q17" s="85">
        <v>1</v>
      </c>
      <c r="R17" s="85">
        <v>2</v>
      </c>
      <c r="S17" s="85">
        <v>3</v>
      </c>
      <c r="T17" s="85">
        <v>4</v>
      </c>
      <c r="U17" s="85">
        <v>5</v>
      </c>
      <c r="V17" s="85">
        <v>6</v>
      </c>
      <c r="W17" s="85">
        <v>7</v>
      </c>
      <c r="X17" s="85">
        <v>8</v>
      </c>
      <c r="Y17" s="85">
        <v>9</v>
      </c>
      <c r="Z17" s="85">
        <v>10</v>
      </c>
      <c r="AA17" s="85">
        <v>11</v>
      </c>
      <c r="AB17" s="85">
        <v>12</v>
      </c>
    </row>
    <row r="18" spans="1:30" x14ac:dyDescent="0.35">
      <c r="A18" s="84" t="s">
        <v>85</v>
      </c>
      <c r="B18" s="87">
        <f t="shared" ref="B18:M18" si="2">B8-$C$4</f>
        <v>-5.8000000000000003E-2</v>
      </c>
      <c r="C18" s="87">
        <f t="shared" si="2"/>
        <v>-5.8000000000000003E-2</v>
      </c>
      <c r="D18" s="87">
        <f t="shared" si="2"/>
        <v>-5.8000000000000003E-2</v>
      </c>
      <c r="E18" s="87">
        <f t="shared" si="2"/>
        <v>-5.8000000000000003E-2</v>
      </c>
      <c r="F18" s="87">
        <f t="shared" si="2"/>
        <v>-5.8000000000000003E-2</v>
      </c>
      <c r="G18" s="87">
        <f t="shared" si="2"/>
        <v>-5.8000000000000003E-2</v>
      </c>
      <c r="H18" s="87">
        <f t="shared" si="2"/>
        <v>-5.8000000000000003E-2</v>
      </c>
      <c r="I18" s="87">
        <f t="shared" si="2"/>
        <v>-5.8000000000000003E-2</v>
      </c>
      <c r="J18" s="87">
        <f t="shared" si="2"/>
        <v>-5.8000000000000003E-2</v>
      </c>
      <c r="K18" s="87">
        <f t="shared" si="2"/>
        <v>-5.8000000000000003E-2</v>
      </c>
      <c r="L18" s="87">
        <f t="shared" si="2"/>
        <v>-5.8000000000000003E-2</v>
      </c>
      <c r="M18" s="87">
        <f t="shared" si="2"/>
        <v>-5.8000000000000003E-2</v>
      </c>
      <c r="O18" s="77"/>
      <c r="P18" s="84" t="s">
        <v>59</v>
      </c>
      <c r="Q18" s="88" t="str">
        <f>Syntheses!B8</f>
        <v>ACCAACCAACTTTCGATCTCTTGT</v>
      </c>
      <c r="R18" s="88" t="str">
        <f>Syntheses!C8</f>
        <v>TGCACAGGTGACAATTTGTCCA</v>
      </c>
      <c r="S18" s="88" t="str">
        <f>Syntheses!D8</f>
        <v>TCGCACAAATGTCTACTTAGCTGT</v>
      </c>
      <c r="T18" s="88" t="str">
        <f>Syntheses!E8</f>
        <v>GCTGTTATGTACATGGGCACACT</v>
      </c>
      <c r="U18" s="88" t="str">
        <f>Syntheses!F8</f>
        <v>GCAATTGTTTTTCAGCTATTTTGCAGT</v>
      </c>
      <c r="V18" s="88" t="str">
        <f>Syntheses!G8</f>
        <v>ACTTTTGAAGAAGCTGCGCTGT</v>
      </c>
      <c r="W18" s="88" t="str">
        <f>Syntheses!H8</f>
        <v>GTTCCCTTCCATCATATGCAGCT</v>
      </c>
      <c r="X18" s="88" t="str">
        <f>Syntheses!I8</f>
        <v>AGGACTGGTATGATTTTGTAGAAAACCC</v>
      </c>
      <c r="Y18" s="88" t="str">
        <f>Syntheses!J8</f>
        <v>ACTCAACTTTACTTAGGAGGTATGAGCT</v>
      </c>
      <c r="Z18" s="88" t="str">
        <f>Syntheses!K8</f>
        <v>TGTTAAGCGTGTTGACTGGACT</v>
      </c>
      <c r="AA18" s="88" t="str">
        <f>Syntheses!L8</f>
        <v>ACAAATCCAATTCAGTTGTCTTCCTATTC</v>
      </c>
      <c r="AB18" s="88" t="str">
        <f>Syntheses!M8</f>
        <v>GTGGTGATTCAACTGAATGCAGC</v>
      </c>
    </row>
    <row r="19" spans="1:30" x14ac:dyDescent="0.35">
      <c r="A19" s="84" t="s">
        <v>98</v>
      </c>
      <c r="B19" s="87">
        <f t="shared" ref="B19:M19" si="3">B9-$C$4</f>
        <v>-5.8000000000000003E-2</v>
      </c>
      <c r="C19" s="87">
        <f t="shared" si="3"/>
        <v>-5.8000000000000003E-2</v>
      </c>
      <c r="D19" s="87">
        <f t="shared" si="3"/>
        <v>-5.8000000000000003E-2</v>
      </c>
      <c r="E19" s="87">
        <f t="shared" si="3"/>
        <v>-5.8000000000000003E-2</v>
      </c>
      <c r="F19" s="87">
        <f t="shared" si="3"/>
        <v>-5.8000000000000003E-2</v>
      </c>
      <c r="G19" s="87">
        <f t="shared" si="3"/>
        <v>-5.8000000000000003E-2</v>
      </c>
      <c r="H19" s="87">
        <f t="shared" si="3"/>
        <v>-5.8000000000000003E-2</v>
      </c>
      <c r="I19" s="87">
        <f t="shared" si="3"/>
        <v>-5.8000000000000003E-2</v>
      </c>
      <c r="J19" s="87">
        <f t="shared" si="3"/>
        <v>-5.8000000000000003E-2</v>
      </c>
      <c r="K19" s="87">
        <f t="shared" si="3"/>
        <v>-5.8000000000000003E-2</v>
      </c>
      <c r="L19" s="87">
        <f t="shared" si="3"/>
        <v>-5.8000000000000003E-2</v>
      </c>
      <c r="M19" s="87">
        <f t="shared" si="3"/>
        <v>-5.8000000000000003E-2</v>
      </c>
      <c r="O19" s="77"/>
      <c r="P19" s="84" t="s">
        <v>72</v>
      </c>
      <c r="Q19" s="88" t="str">
        <f>Syntheses!B9</f>
        <v>CATCTTTAAGATGTTGACGTGCCTC</v>
      </c>
      <c r="R19" s="88" t="str">
        <f>Syntheses!C9</f>
        <v>AGGTGACAATTTGTCCACCGAC</v>
      </c>
      <c r="S19" s="88" t="str">
        <f>Syntheses!D9</f>
        <v>ACCACAGCAGTTAAAACACCCT</v>
      </c>
      <c r="T19" s="88" t="str">
        <f>Syntheses!E9</f>
        <v>TGTCCAACTTAGGGTCAATTTCTGT</v>
      </c>
      <c r="U19" s="88" t="str">
        <f>Syntheses!F9</f>
        <v>ACTGTAGTGACAAGTCTCTCGCA</v>
      </c>
      <c r="V19" s="88" t="str">
        <f>Syntheses!G9</f>
        <v>TGGACAGTAAACTACGTCATCAAGC</v>
      </c>
      <c r="W19" s="88" t="str">
        <f>Syntheses!H9</f>
        <v>TGGTATGACAACCATTAGTTTGGCT</v>
      </c>
      <c r="X19" s="88" t="str">
        <f>Syntheses!I9</f>
        <v>AATAACGGTCAAAGAGTTTTAACCTCTC</v>
      </c>
      <c r="Y19" s="88" t="str">
        <f>Syntheses!J9</f>
        <v>GGTGTACTCTCCTATTTGTACTTTACTGT</v>
      </c>
      <c r="Z19" s="88" t="str">
        <f>Syntheses!K9</f>
        <v>ACAAACTGCCACCATCACAACC</v>
      </c>
      <c r="AA19" s="88" t="str">
        <f>Syntheses!L9</f>
        <v>TGGAAAAGAAAGGTAAGAACAAGTCCT</v>
      </c>
      <c r="AB19" s="88" t="str">
        <f>Syntheses!M9</f>
        <v>CATTTCATCTGTGAGCAAAGGTGG</v>
      </c>
    </row>
    <row r="20" spans="1:30" x14ac:dyDescent="0.35">
      <c r="A20" s="84" t="s">
        <v>111</v>
      </c>
      <c r="B20" s="87">
        <f t="shared" ref="B20:M20" si="4">B10-$C$4</f>
        <v>-5.8000000000000003E-2</v>
      </c>
      <c r="C20" s="87">
        <f t="shared" si="4"/>
        <v>-5.8000000000000003E-2</v>
      </c>
      <c r="D20" s="87">
        <f t="shared" si="4"/>
        <v>-5.8000000000000003E-2</v>
      </c>
      <c r="E20" s="87">
        <f t="shared" si="4"/>
        <v>-5.8000000000000003E-2</v>
      </c>
      <c r="F20" s="87">
        <f t="shared" si="4"/>
        <v>-5.8000000000000003E-2</v>
      </c>
      <c r="G20" s="87">
        <f t="shared" si="4"/>
        <v>-5.8000000000000003E-2</v>
      </c>
      <c r="H20" s="87">
        <f t="shared" si="4"/>
        <v>-5.8000000000000003E-2</v>
      </c>
      <c r="I20" s="87">
        <f t="shared" si="4"/>
        <v>-5.8000000000000003E-2</v>
      </c>
      <c r="J20" s="87">
        <f t="shared" si="4"/>
        <v>-5.8000000000000003E-2</v>
      </c>
      <c r="K20" s="87">
        <f t="shared" si="4"/>
        <v>-5.8000000000000003E-2</v>
      </c>
      <c r="L20" s="87">
        <f t="shared" si="4"/>
        <v>-5.8000000000000003E-2</v>
      </c>
      <c r="M20" s="87">
        <f t="shared" si="4"/>
        <v>-5.8000000000000003E-2</v>
      </c>
      <c r="O20" s="77"/>
      <c r="P20" s="84" t="s">
        <v>85</v>
      </c>
      <c r="Q20" s="88" t="str">
        <f>Syntheses!B10</f>
        <v>CGGTAATAAAGGAGCTGGTGGC</v>
      </c>
      <c r="R20" s="88" t="str">
        <f>Syntheses!C10</f>
        <v>TCCCACAGAAGTGTTAACAGAGGA</v>
      </c>
      <c r="S20" s="88" t="str">
        <f>Syntheses!D10</f>
        <v>ACAGTGCTTAAAAAGTGTAAAAGTGCC</v>
      </c>
      <c r="T20" s="88" t="str">
        <f>Syntheses!E10</f>
        <v>TGGCTATTGATTATAAACACTACACACCC</v>
      </c>
      <c r="U20" s="88" t="str">
        <f>Syntheses!F10</f>
        <v>ACTACAGTCAGCTTATGTGTCAACC</v>
      </c>
      <c r="V20" s="88" t="str">
        <f>Syntheses!G10</f>
        <v>TGTTCGCATTCAACCAGGACAG</v>
      </c>
      <c r="W20" s="88" t="str">
        <f>Syntheses!H10</f>
        <v>TACGACAGATGTCTTGTGCTGC</v>
      </c>
      <c r="X20" s="88" t="str">
        <f>Syntheses!I10</f>
        <v>AGGAATTACTTGTGTATGCTGCTGA</v>
      </c>
      <c r="Y20" s="88" t="str">
        <f>Syntheses!J10</f>
        <v>ATTCTACACTCCAGGGACCACC</v>
      </c>
      <c r="Z20" s="88" t="str">
        <f>Syntheses!K10</f>
        <v>GCTGGCTTTAGCTTGTGGGTTT</v>
      </c>
      <c r="AA20" s="88" t="str">
        <f>Syntheses!L10</f>
        <v>CAATTTTGTAATGATCCATTTTTGGGTGT</v>
      </c>
      <c r="AB20" s="88" t="str">
        <f>Syntheses!M10</f>
        <v>GCACTTGGAAAACTTCAAGATGTGG</v>
      </c>
    </row>
    <row r="21" spans="1:30" x14ac:dyDescent="0.35">
      <c r="A21" s="84" t="s">
        <v>124</v>
      </c>
      <c r="B21" s="87">
        <f t="shared" ref="B21:M21" si="5">B11-$C$4</f>
        <v>-5.8000000000000003E-2</v>
      </c>
      <c r="C21" s="87">
        <f t="shared" si="5"/>
        <v>-5.8000000000000003E-2</v>
      </c>
      <c r="D21" s="87">
        <f t="shared" si="5"/>
        <v>-5.8000000000000003E-2</v>
      </c>
      <c r="E21" s="87">
        <f t="shared" si="5"/>
        <v>-5.8000000000000003E-2</v>
      </c>
      <c r="F21" s="87">
        <f t="shared" si="5"/>
        <v>-5.8000000000000003E-2</v>
      </c>
      <c r="G21" s="87">
        <f t="shared" si="5"/>
        <v>-5.8000000000000003E-2</v>
      </c>
      <c r="H21" s="87">
        <f t="shared" si="5"/>
        <v>-5.8000000000000003E-2</v>
      </c>
      <c r="I21" s="87">
        <f t="shared" si="5"/>
        <v>-5.8000000000000003E-2</v>
      </c>
      <c r="J21" s="87">
        <f t="shared" si="5"/>
        <v>-5.8000000000000003E-2</v>
      </c>
      <c r="K21" s="87">
        <f t="shared" si="5"/>
        <v>-5.8000000000000003E-2</v>
      </c>
      <c r="L21" s="87">
        <f t="shared" si="5"/>
        <v>-5.8000000000000003E-2</v>
      </c>
      <c r="M21" s="87">
        <f t="shared" si="5"/>
        <v>-5.8000000000000003E-2</v>
      </c>
      <c r="O21" s="77"/>
      <c r="P21" s="84" t="s">
        <v>98</v>
      </c>
      <c r="Q21" s="88" t="str">
        <f>Syntheses!B11</f>
        <v>AAGGTGTCTGCAATTCATAGCTCT</v>
      </c>
      <c r="R21" s="88" t="str">
        <f>Syntheses!C11</f>
        <v>TTCCCACAGAAGTGTTAACAGAGG</v>
      </c>
      <c r="S21" s="88" t="str">
        <f>Syntheses!D11</f>
        <v>AGTGCTTAAAAAGTGTAAAAGTGCCT</v>
      </c>
      <c r="T21" s="88" t="str">
        <f>Syntheses!E11</f>
        <v>GGCTATTGATTATAAACACTACACACCCT</v>
      </c>
      <c r="U21" s="88" t="str">
        <f>Syntheses!F11</f>
        <v>AATACAAGCACCAAGGTCACGG</v>
      </c>
      <c r="V21" s="88" t="str">
        <f>Syntheses!G11</f>
        <v>ACTTCATAGCCACAAGGTTAAAGTCA</v>
      </c>
      <c r="W21" s="88" t="str">
        <f>Syntheses!H11</f>
        <v>AGCAGCATCTACAGCAAAAGCA</v>
      </c>
      <c r="X21" s="88" t="str">
        <f>Syntheses!I11</f>
        <v>TGACGATGACTTGGTTAGCATTAATACA</v>
      </c>
      <c r="Y21" s="88" t="str">
        <f>Syntheses!J11</f>
        <v>GTAATTGAGCAGGGTCGCCAAT</v>
      </c>
      <c r="Z21" s="88" t="str">
        <f>Syntheses!K11</f>
        <v>TGTCAGTCATAGAACAAACACCAATAGT</v>
      </c>
      <c r="AA21" s="88" t="str">
        <f>Syntheses!L11</f>
        <v>CACCAGCTGTCCAACCTGAAGA</v>
      </c>
      <c r="AB21" s="88" t="str">
        <f>Syntheses!M11</f>
        <v>GTGAAGTTCTTTTCTTGTGCAGGG</v>
      </c>
      <c r="AD21" s="89"/>
    </row>
    <row r="22" spans="1:30" x14ac:dyDescent="0.35">
      <c r="A22" s="84" t="s">
        <v>137</v>
      </c>
      <c r="B22" s="87">
        <f t="shared" ref="B22:M22" si="6">B12-$C$4</f>
        <v>-5.8000000000000003E-2</v>
      </c>
      <c r="C22" s="87">
        <f t="shared" si="6"/>
        <v>-5.8000000000000003E-2</v>
      </c>
      <c r="D22" s="87">
        <f t="shared" si="6"/>
        <v>-5.8000000000000003E-2</v>
      </c>
      <c r="E22" s="87">
        <f t="shared" si="6"/>
        <v>-5.8000000000000003E-2</v>
      </c>
      <c r="F22" s="87">
        <f t="shared" si="6"/>
        <v>-5.8000000000000003E-2</v>
      </c>
      <c r="G22" s="87">
        <f t="shared" si="6"/>
        <v>-5.8000000000000003E-2</v>
      </c>
      <c r="H22" s="87">
        <f t="shared" si="6"/>
        <v>-5.8000000000000003E-2</v>
      </c>
      <c r="I22" s="87">
        <f t="shared" si="6"/>
        <v>-5.8000000000000003E-2</v>
      </c>
      <c r="J22" s="87">
        <f t="shared" si="6"/>
        <v>-5.8000000000000003E-2</v>
      </c>
      <c r="K22" s="87">
        <f t="shared" si="6"/>
        <v>-5.8000000000000003E-2</v>
      </c>
      <c r="L22" s="87">
        <f t="shared" si="6"/>
        <v>-5.8000000000000003E-2</v>
      </c>
      <c r="M22" s="87">
        <f t="shared" si="6"/>
        <v>-5.8000000000000003E-2</v>
      </c>
      <c r="O22" s="77"/>
      <c r="P22" s="84" t="s">
        <v>111</v>
      </c>
      <c r="Q22" s="88" t="str">
        <f>Syntheses!B12</f>
        <v>TGGTGAAACTTCATGGCAGACG</v>
      </c>
      <c r="R22" s="88" t="str">
        <f>Syntheses!C12</f>
        <v>ATGACAGCATCTGCCACAACAC</v>
      </c>
      <c r="S22" s="88" t="str">
        <f>Syntheses!D12</f>
        <v>AACAGAAACTGTAGCTGGCACT</v>
      </c>
      <c r="T22" s="88" t="str">
        <f>Syntheses!E12</f>
        <v>TAGATCTGTGTGGCCAACCTCT</v>
      </c>
      <c r="U22" s="88" t="str">
        <f>Syntheses!F12</f>
        <v>ACTTGTGTTCCTTTTTGTTGCTGC</v>
      </c>
      <c r="V22" s="88" t="str">
        <f>Syntheses!G12</f>
        <v>ACACACCACTGGTTGTTACTCAC</v>
      </c>
      <c r="W22" s="88" t="str">
        <f>Syntheses!H12</f>
        <v>TACCTACAACTTGTGCTAATGACCC</v>
      </c>
      <c r="X22" s="88" t="str">
        <f>Syntheses!I12</f>
        <v>TCAATAGCCGCCACTAGAGGAG</v>
      </c>
      <c r="Y22" s="88" t="str">
        <f>Syntheses!J12</f>
        <v>TCACGCATGATGTTTCATCTGCA</v>
      </c>
      <c r="Z22" s="88" t="str">
        <f>Syntheses!K12</f>
        <v>GTTGTCCAACAATTACCTGAAACTTACT</v>
      </c>
      <c r="AA22" s="88" t="str">
        <f>Syntheses!L12</f>
        <v>AGAGTCCAACCAACAGAATCTATTGT</v>
      </c>
      <c r="AB22" s="88" t="str">
        <f>Syntheses!M12</f>
        <v>TCCTTTGCAACCTGAATTAGACTCA</v>
      </c>
    </row>
    <row r="23" spans="1:30" x14ac:dyDescent="0.35">
      <c r="A23" s="84" t="s">
        <v>150</v>
      </c>
      <c r="B23" s="87">
        <f t="shared" ref="B23:M23" si="7">B13-$C$4</f>
        <v>-5.8000000000000003E-2</v>
      </c>
      <c r="C23" s="87">
        <f t="shared" si="7"/>
        <v>-5.8000000000000003E-2</v>
      </c>
      <c r="D23" s="87">
        <f t="shared" si="7"/>
        <v>-5.8000000000000003E-2</v>
      </c>
      <c r="E23" s="87">
        <f t="shared" si="7"/>
        <v>-5.8000000000000003E-2</v>
      </c>
      <c r="F23" s="87">
        <f t="shared" si="7"/>
        <v>-5.8000000000000003E-2</v>
      </c>
      <c r="G23" s="87">
        <f t="shared" si="7"/>
        <v>-5.8000000000000003E-2</v>
      </c>
      <c r="H23" s="87">
        <f t="shared" si="7"/>
        <v>-5.8000000000000003E-2</v>
      </c>
      <c r="I23" s="87">
        <f t="shared" si="7"/>
        <v>-5.8000000000000003E-2</v>
      </c>
      <c r="J23" s="87">
        <f t="shared" si="7"/>
        <v>-5.8000000000000003E-2</v>
      </c>
      <c r="K23" s="87">
        <f t="shared" si="7"/>
        <v>-5.8000000000000003E-2</v>
      </c>
      <c r="L23" s="87">
        <f t="shared" si="7"/>
        <v>-5.8000000000000003E-2</v>
      </c>
      <c r="M23" s="87">
        <f t="shared" si="7"/>
        <v>-5.8000000000000003E-2</v>
      </c>
      <c r="O23" s="77"/>
      <c r="P23" s="84" t="s">
        <v>124</v>
      </c>
      <c r="Q23" s="88" t="str">
        <f>Syntheses!B13</f>
        <v>ATTGATGTTGACTTTCTCTTTTTGGAGT</v>
      </c>
      <c r="R23" s="88" t="str">
        <f>Syntheses!C13</f>
        <v>GACAGCATCTGCCACAACACAG</v>
      </c>
      <c r="S23" s="88" t="str">
        <f>Syntheses!D13</f>
        <v>ACTGTAGCTGGCACTTTGAGAGA</v>
      </c>
      <c r="T23" s="88" t="str">
        <f>Syntheses!E13</f>
        <v>GATCTGTGTGGCCAACCTCTTC</v>
      </c>
      <c r="U23" s="88" t="str">
        <f>Syntheses!F13</f>
        <v>AGTGTACTCTATAAGTTTTGATGGTGTGT</v>
      </c>
      <c r="V23" s="88" t="str">
        <f>Syntheses!G13</f>
        <v>GTCCACACTCTCCTAGCACCAT</v>
      </c>
      <c r="W23" s="88" t="str">
        <f>Syntheses!H13</f>
        <v>AGTATGTACAAATACCTACAACTTGTGCT</v>
      </c>
      <c r="X23" s="88" t="str">
        <f>Syntheses!I13</f>
        <v>AGTGCATTAACATTGGCCGTGA</v>
      </c>
      <c r="Y23" s="88" t="str">
        <f>Syntheses!J13</f>
        <v>AAGAGTCCTGTTACATTTTCAGCTTG</v>
      </c>
      <c r="Z23" s="88" t="str">
        <f>Syntheses!K13</f>
        <v>CAACCTTAGAAACTACAGATAAATCTTGGG</v>
      </c>
      <c r="AA23" s="88" t="str">
        <f>Syntheses!L13</f>
        <v>ACCACCAACCTTAGAATCAAGATTGT</v>
      </c>
      <c r="AB23" s="88" t="str">
        <f>Syntheses!M13</f>
        <v>TTTGACTCCTTTGAGCACTGGC</v>
      </c>
    </row>
    <row r="24" spans="1:30" x14ac:dyDescent="0.35">
      <c r="B24" s="90" t="s">
        <v>368</v>
      </c>
      <c r="C24" s="91"/>
      <c r="D24" s="91"/>
      <c r="E24" s="91"/>
      <c r="F24" s="91"/>
      <c r="O24" s="77"/>
      <c r="P24" s="84" t="s">
        <v>137</v>
      </c>
      <c r="Q24" s="88" t="str">
        <f>Syntheses!B14</f>
        <v>ATCAGAGGCTGCTCGTGTTGTA</v>
      </c>
      <c r="R24" s="88" t="str">
        <f>Syntheses!C14</f>
        <v>GGAATTTGGTGCCACTTCTGCT</v>
      </c>
      <c r="S24" s="88" t="str">
        <f>Syntheses!D14</f>
        <v>CTTCTTTCTTTGAGAGAAGTGAGGACT</v>
      </c>
      <c r="T24" s="88" t="str">
        <f>Syntheses!E14</f>
        <v>ACAACTACTAACATAGTTACACGGTGT</v>
      </c>
      <c r="U24" s="88" t="str">
        <f>Syntheses!F14</f>
        <v>TTCTGAGTACTGTAGGCACGGC</v>
      </c>
      <c r="V24" s="88" t="str">
        <f>Syntheses!G14</f>
        <v>AGTATTGCCCTATTTTCTTCATAACTGGT</v>
      </c>
      <c r="W24" s="88" t="str">
        <f>Syntheses!H14</f>
        <v>AAATTGTTTCTTCATGTTGGTAGTTAGAGA</v>
      </c>
      <c r="X24" s="88" t="str">
        <f>Syntheses!I14</f>
        <v>AGCAAAATGTTGGACTGAGACTGA</v>
      </c>
      <c r="Y24" s="88" t="str">
        <f>Syntheses!J14</f>
        <v>TGTTTATCACCCGCGAAGAAGC</v>
      </c>
      <c r="Z24" s="88" t="str">
        <f>Syntheses!K14</f>
        <v>TGTCGCAAAATATACTCAACTGTGTCA</v>
      </c>
      <c r="AA24" s="88" t="str">
        <f>Syntheses!L14</f>
        <v>CCAGCAACTGTTTGTGGACCTA</v>
      </c>
      <c r="AB24" s="88" t="str">
        <f>Syntheses!M14</f>
        <v>ACTAGCACTCTCCAAGGGTGTT</v>
      </c>
    </row>
    <row r="25" spans="1:30" x14ac:dyDescent="0.35">
      <c r="A25" s="83" t="s">
        <v>351</v>
      </c>
      <c r="B25" s="84">
        <v>1</v>
      </c>
      <c r="C25" s="84">
        <v>2</v>
      </c>
      <c r="D25" s="84">
        <v>3</v>
      </c>
      <c r="E25" s="84">
        <v>4</v>
      </c>
      <c r="F25" s="84">
        <v>5</v>
      </c>
      <c r="G25" s="84">
        <v>6</v>
      </c>
      <c r="H25" s="84">
        <v>7</v>
      </c>
      <c r="I25" s="84">
        <v>8</v>
      </c>
      <c r="J25" s="84">
        <v>9</v>
      </c>
      <c r="K25" s="84">
        <v>10</v>
      </c>
      <c r="L25" s="84">
        <v>11</v>
      </c>
      <c r="M25" s="84">
        <v>12</v>
      </c>
      <c r="O25" s="77"/>
      <c r="P25" s="84" t="s">
        <v>150</v>
      </c>
      <c r="Q25" s="88" t="str">
        <f>Syntheses!B15</f>
        <v>CATTTGCATCAGAGGCTGCTCG</v>
      </c>
      <c r="R25" s="88" t="str">
        <f>Syntheses!C15</f>
        <v>TCATCAGATTCAACTTGCATGGCA</v>
      </c>
      <c r="S25" s="88" t="str">
        <f>Syntheses!D15</f>
        <v>TTTGTTGGAGTGTTAACAATGCAGT</v>
      </c>
      <c r="T25" s="88" t="str">
        <f>Syntheses!E15</f>
        <v>ACCAGTACAGTAGGTTGCAATAGTG</v>
      </c>
      <c r="U25" s="88" t="str">
        <f>Syntheses!F15</f>
        <v>ACAGAATAAACACCAGGTAAGAATGAGT</v>
      </c>
      <c r="V25" s="88" t="str">
        <f>Syntheses!G15</f>
        <v>TGTAACTGGACACATTGAGCCC</v>
      </c>
      <c r="W25" s="88" t="str">
        <f>Syntheses!H15</f>
        <v>TTCATGTTGGTAGTTAGAGAAAGTGTGTC</v>
      </c>
      <c r="X25" s="88" t="str">
        <f>Syntheses!I15</f>
        <v>AGCCTCATAAAACTCAGGTTCCC</v>
      </c>
      <c r="Y25" s="88" t="str">
        <f>Syntheses!J15</f>
        <v>ATCACATAGACAACAGGTGCGC</v>
      </c>
      <c r="Z25" s="88" t="str">
        <f>Syntheses!K15</f>
        <v>TCTTTATAGCCACGGAACCTCCA</v>
      </c>
      <c r="AA25" s="88" t="str">
        <f>Syntheses!L15</f>
        <v>CAGCCCCTATTAAACAGCCTGC</v>
      </c>
      <c r="AB25" s="88" t="str">
        <f>Syntheses!M15</f>
        <v>ACACAGTCTTTTACTCCAGATTCCC</v>
      </c>
    </row>
    <row r="26" spans="1:30" x14ac:dyDescent="0.35">
      <c r="A26" s="84" t="s">
        <v>59</v>
      </c>
      <c r="B26" s="92" t="e">
        <f t="shared" ref="B26:M33" si="8">B16/(Q6*$Q$30)*10^6/$Q$32</f>
        <v>#DIV/0!</v>
      </c>
      <c r="C26" s="92" t="e">
        <f t="shared" si="8"/>
        <v>#DIV/0!</v>
      </c>
      <c r="D26" s="92" t="e">
        <f t="shared" si="8"/>
        <v>#DIV/0!</v>
      </c>
      <c r="E26" s="92" t="e">
        <f t="shared" si="8"/>
        <v>#DIV/0!</v>
      </c>
      <c r="F26" s="92" t="e">
        <f t="shared" si="8"/>
        <v>#DIV/0!</v>
      </c>
      <c r="G26" s="92" t="e">
        <f t="shared" si="8"/>
        <v>#DIV/0!</v>
      </c>
      <c r="H26" s="92" t="e">
        <f t="shared" si="8"/>
        <v>#DIV/0!</v>
      </c>
      <c r="I26" s="92" t="e">
        <f t="shared" si="8"/>
        <v>#DIV/0!</v>
      </c>
      <c r="J26" s="92" t="e">
        <f t="shared" si="8"/>
        <v>#DIV/0!</v>
      </c>
      <c r="K26" s="92" t="e">
        <f t="shared" si="8"/>
        <v>#DIV/0!</v>
      </c>
      <c r="L26" s="92" t="e">
        <f t="shared" si="8"/>
        <v>#DIV/0!</v>
      </c>
      <c r="M26" s="92" t="e">
        <f t="shared" si="8"/>
        <v>#DIV/0!</v>
      </c>
      <c r="O26" s="77"/>
    </row>
    <row r="27" spans="1:30" x14ac:dyDescent="0.35">
      <c r="A27" s="84" t="s">
        <v>72</v>
      </c>
      <c r="B27" s="92" t="e">
        <f t="shared" si="8"/>
        <v>#DIV/0!</v>
      </c>
      <c r="C27" s="92" t="e">
        <f t="shared" si="8"/>
        <v>#DIV/0!</v>
      </c>
      <c r="D27" s="92" t="e">
        <f t="shared" si="8"/>
        <v>#DIV/0!</v>
      </c>
      <c r="E27" s="92" t="e">
        <f t="shared" si="8"/>
        <v>#DIV/0!</v>
      </c>
      <c r="F27" s="92" t="e">
        <f t="shared" si="8"/>
        <v>#DIV/0!</v>
      </c>
      <c r="G27" s="92" t="e">
        <f t="shared" si="8"/>
        <v>#DIV/0!</v>
      </c>
      <c r="H27" s="92" t="e">
        <f t="shared" si="8"/>
        <v>#DIV/0!</v>
      </c>
      <c r="I27" s="92" t="e">
        <f t="shared" si="8"/>
        <v>#DIV/0!</v>
      </c>
      <c r="J27" s="92" t="e">
        <f t="shared" si="8"/>
        <v>#DIV/0!</v>
      </c>
      <c r="K27" s="92" t="e">
        <f t="shared" si="8"/>
        <v>#DIV/0!</v>
      </c>
      <c r="L27" s="92" t="e">
        <f t="shared" si="8"/>
        <v>#DIV/0!</v>
      </c>
      <c r="M27" s="92" t="e">
        <f t="shared" si="8"/>
        <v>#DIV/0!</v>
      </c>
      <c r="O27" s="77"/>
    </row>
    <row r="28" spans="1:30" x14ac:dyDescent="0.35">
      <c r="A28" s="84" t="s">
        <v>85</v>
      </c>
      <c r="B28" s="92" t="e">
        <f t="shared" si="8"/>
        <v>#DIV/0!</v>
      </c>
      <c r="C28" s="92" t="e">
        <f t="shared" si="8"/>
        <v>#DIV/0!</v>
      </c>
      <c r="D28" s="92" t="e">
        <f t="shared" si="8"/>
        <v>#DIV/0!</v>
      </c>
      <c r="E28" s="92" t="e">
        <f t="shared" si="8"/>
        <v>#DIV/0!</v>
      </c>
      <c r="F28" s="92" t="e">
        <f t="shared" si="8"/>
        <v>#DIV/0!</v>
      </c>
      <c r="G28" s="92" t="e">
        <f t="shared" si="8"/>
        <v>#DIV/0!</v>
      </c>
      <c r="H28" s="92" t="e">
        <f t="shared" si="8"/>
        <v>#DIV/0!</v>
      </c>
      <c r="I28" s="92" t="e">
        <f t="shared" si="8"/>
        <v>#DIV/0!</v>
      </c>
      <c r="J28" s="92" t="e">
        <f t="shared" si="8"/>
        <v>#DIV/0!</v>
      </c>
      <c r="K28" s="92" t="e">
        <f t="shared" si="8"/>
        <v>#DIV/0!</v>
      </c>
      <c r="L28" s="92" t="e">
        <f t="shared" si="8"/>
        <v>#DIV/0!</v>
      </c>
      <c r="M28" s="92" t="e">
        <f t="shared" si="8"/>
        <v>#DIV/0!</v>
      </c>
      <c r="O28" s="77"/>
      <c r="P28" s="80" t="s">
        <v>369</v>
      </c>
    </row>
    <row r="29" spans="1:30" x14ac:dyDescent="0.35">
      <c r="A29" s="84" t="s">
        <v>98</v>
      </c>
      <c r="B29" s="92" t="e">
        <f t="shared" si="8"/>
        <v>#DIV/0!</v>
      </c>
      <c r="C29" s="92" t="e">
        <f t="shared" si="8"/>
        <v>#DIV/0!</v>
      </c>
      <c r="D29" s="92" t="e">
        <f t="shared" si="8"/>
        <v>#DIV/0!</v>
      </c>
      <c r="E29" s="92" t="e">
        <f t="shared" si="8"/>
        <v>#DIV/0!</v>
      </c>
      <c r="F29" s="92" t="e">
        <f t="shared" si="8"/>
        <v>#DIV/0!</v>
      </c>
      <c r="G29" s="92" t="e">
        <f t="shared" si="8"/>
        <v>#DIV/0!</v>
      </c>
      <c r="H29" s="92" t="e">
        <f t="shared" si="8"/>
        <v>#DIV/0!</v>
      </c>
      <c r="I29" s="92" t="e">
        <f t="shared" si="8"/>
        <v>#DIV/0!</v>
      </c>
      <c r="J29" s="92" t="e">
        <f t="shared" si="8"/>
        <v>#DIV/0!</v>
      </c>
      <c r="K29" s="92" t="e">
        <f t="shared" si="8"/>
        <v>#DIV/0!</v>
      </c>
      <c r="L29" s="92" t="e">
        <f t="shared" si="8"/>
        <v>#DIV/0!</v>
      </c>
      <c r="M29" s="92" t="e">
        <f t="shared" si="8"/>
        <v>#DIV/0!</v>
      </c>
      <c r="O29" s="77"/>
    </row>
    <row r="30" spans="1:30" x14ac:dyDescent="0.35">
      <c r="A30" s="84" t="s">
        <v>111</v>
      </c>
      <c r="B30" s="92" t="e">
        <f t="shared" si="8"/>
        <v>#DIV/0!</v>
      </c>
      <c r="C30" s="92" t="e">
        <f t="shared" si="8"/>
        <v>#DIV/0!</v>
      </c>
      <c r="D30" s="92" t="e">
        <f t="shared" si="8"/>
        <v>#DIV/0!</v>
      </c>
      <c r="E30" s="92" t="e">
        <f t="shared" si="8"/>
        <v>#DIV/0!</v>
      </c>
      <c r="F30" s="92" t="e">
        <f t="shared" si="8"/>
        <v>#DIV/0!</v>
      </c>
      <c r="G30" s="92" t="e">
        <f t="shared" si="8"/>
        <v>#DIV/0!</v>
      </c>
      <c r="H30" s="92" t="e">
        <f t="shared" si="8"/>
        <v>#DIV/0!</v>
      </c>
      <c r="I30" s="92" t="e">
        <f t="shared" si="8"/>
        <v>#DIV/0!</v>
      </c>
      <c r="J30" s="92" t="e">
        <f t="shared" si="8"/>
        <v>#DIV/0!</v>
      </c>
      <c r="K30" s="92" t="e">
        <f t="shared" si="8"/>
        <v>#DIV/0!</v>
      </c>
      <c r="L30" s="92" t="e">
        <f t="shared" si="8"/>
        <v>#DIV/0!</v>
      </c>
      <c r="M30" s="92" t="e">
        <f t="shared" si="8"/>
        <v>#DIV/0!</v>
      </c>
      <c r="O30" s="77"/>
      <c r="P30" s="93" t="s">
        <v>370</v>
      </c>
      <c r="Q30" s="87">
        <f>0.0058*Q31</f>
        <v>0.23199999999999998</v>
      </c>
      <c r="R30" s="87" t="s">
        <v>371</v>
      </c>
    </row>
    <row r="31" spans="1:30" x14ac:dyDescent="0.35">
      <c r="A31" s="84" t="s">
        <v>124</v>
      </c>
      <c r="B31" s="92" t="e">
        <f t="shared" si="8"/>
        <v>#DIV/0!</v>
      </c>
      <c r="C31" s="92" t="e">
        <f t="shared" si="8"/>
        <v>#DIV/0!</v>
      </c>
      <c r="D31" s="92" t="e">
        <f t="shared" si="8"/>
        <v>#DIV/0!</v>
      </c>
      <c r="E31" s="92" t="e">
        <f t="shared" si="8"/>
        <v>#DIV/0!</v>
      </c>
      <c r="F31" s="92" t="e">
        <f t="shared" si="8"/>
        <v>#DIV/0!</v>
      </c>
      <c r="G31" s="92" t="e">
        <f t="shared" si="8"/>
        <v>#DIV/0!</v>
      </c>
      <c r="H31" s="92" t="e">
        <f t="shared" si="8"/>
        <v>#DIV/0!</v>
      </c>
      <c r="I31" s="92" t="e">
        <f t="shared" si="8"/>
        <v>#DIV/0!</v>
      </c>
      <c r="J31" s="92" t="e">
        <f t="shared" si="8"/>
        <v>#DIV/0!</v>
      </c>
      <c r="K31" s="92" t="e">
        <f t="shared" si="8"/>
        <v>#DIV/0!</v>
      </c>
      <c r="L31" s="92" t="e">
        <f t="shared" si="8"/>
        <v>#DIV/0!</v>
      </c>
      <c r="M31" s="92" t="e">
        <f t="shared" si="8"/>
        <v>#DIV/0!</v>
      </c>
      <c r="O31" s="77"/>
      <c r="P31" s="93" t="s">
        <v>372</v>
      </c>
      <c r="Q31" s="94">
        <v>40</v>
      </c>
      <c r="R31" s="87" t="s">
        <v>373</v>
      </c>
      <c r="AD31" s="89"/>
    </row>
    <row r="32" spans="1:30" x14ac:dyDescent="0.35">
      <c r="A32" s="84" t="s">
        <v>137</v>
      </c>
      <c r="B32" s="92" t="e">
        <f t="shared" si="8"/>
        <v>#DIV/0!</v>
      </c>
      <c r="C32" s="92" t="e">
        <f t="shared" si="8"/>
        <v>#DIV/0!</v>
      </c>
      <c r="D32" s="92" t="e">
        <f t="shared" si="8"/>
        <v>#DIV/0!</v>
      </c>
      <c r="E32" s="92" t="e">
        <f t="shared" si="8"/>
        <v>#DIV/0!</v>
      </c>
      <c r="F32" s="92" t="e">
        <f t="shared" si="8"/>
        <v>#DIV/0!</v>
      </c>
      <c r="G32" s="92" t="e">
        <f t="shared" si="8"/>
        <v>#DIV/0!</v>
      </c>
      <c r="H32" s="92" t="e">
        <f t="shared" si="8"/>
        <v>#DIV/0!</v>
      </c>
      <c r="I32" s="92" t="e">
        <f t="shared" si="8"/>
        <v>#DIV/0!</v>
      </c>
      <c r="J32" s="92" t="e">
        <f t="shared" si="8"/>
        <v>#DIV/0!</v>
      </c>
      <c r="K32" s="92" t="e">
        <f t="shared" si="8"/>
        <v>#DIV/0!</v>
      </c>
      <c r="L32" s="92" t="e">
        <f t="shared" si="8"/>
        <v>#DIV/0!</v>
      </c>
      <c r="M32" s="92" t="e">
        <f t="shared" si="8"/>
        <v>#DIV/0!</v>
      </c>
      <c r="O32" s="77"/>
      <c r="P32" s="93" t="s">
        <v>374</v>
      </c>
      <c r="Q32" s="94">
        <v>0.5</v>
      </c>
      <c r="R32" s="87"/>
      <c r="AD32" s="89"/>
    </row>
    <row r="33" spans="1:29" x14ac:dyDescent="0.35">
      <c r="A33" s="84" t="s">
        <v>150</v>
      </c>
      <c r="B33" s="92" t="e">
        <f t="shared" si="8"/>
        <v>#DIV/0!</v>
      </c>
      <c r="C33" s="92" t="e">
        <f t="shared" si="8"/>
        <v>#DIV/0!</v>
      </c>
      <c r="D33" s="92" t="e">
        <f t="shared" si="8"/>
        <v>#DIV/0!</v>
      </c>
      <c r="E33" s="92" t="e">
        <f t="shared" si="8"/>
        <v>#DIV/0!</v>
      </c>
      <c r="F33" s="92" t="e">
        <f t="shared" si="8"/>
        <v>#DIV/0!</v>
      </c>
      <c r="G33" s="92" t="e">
        <f t="shared" si="8"/>
        <v>#DIV/0!</v>
      </c>
      <c r="H33" s="92" t="e">
        <f t="shared" si="8"/>
        <v>#DIV/0!</v>
      </c>
      <c r="I33" s="92" t="e">
        <f t="shared" si="8"/>
        <v>#DIV/0!</v>
      </c>
      <c r="J33" s="92" t="e">
        <f t="shared" si="8"/>
        <v>#DIV/0!</v>
      </c>
      <c r="K33" s="92" t="e">
        <f t="shared" si="8"/>
        <v>#DIV/0!</v>
      </c>
      <c r="L33" s="92" t="e">
        <f t="shared" si="8"/>
        <v>#DIV/0!</v>
      </c>
      <c r="M33" s="92" t="e">
        <f t="shared" si="8"/>
        <v>#DIV/0!</v>
      </c>
      <c r="O33" s="77"/>
      <c r="P33" s="93" t="s">
        <v>375</v>
      </c>
      <c r="Q33" s="259">
        <v>76</v>
      </c>
      <c r="R33" s="87" t="s">
        <v>373</v>
      </c>
    </row>
    <row r="34" spans="1:29" x14ac:dyDescent="0.35">
      <c r="O34" s="77"/>
    </row>
    <row r="35" spans="1:29" x14ac:dyDescent="0.35">
      <c r="A35" s="83" t="s">
        <v>376</v>
      </c>
      <c r="B35" s="84">
        <v>1</v>
      </c>
      <c r="C35" s="84">
        <v>2</v>
      </c>
      <c r="D35" s="84">
        <v>3</v>
      </c>
      <c r="E35" s="84">
        <v>4</v>
      </c>
      <c r="F35" s="84">
        <v>5</v>
      </c>
      <c r="G35" s="84">
        <v>6</v>
      </c>
      <c r="H35" s="84">
        <v>7</v>
      </c>
      <c r="I35" s="84">
        <v>8</v>
      </c>
      <c r="J35" s="84">
        <v>9</v>
      </c>
      <c r="K35" s="84">
        <v>10</v>
      </c>
      <c r="L35" s="84">
        <v>11</v>
      </c>
      <c r="M35" s="84">
        <v>12</v>
      </c>
      <c r="N35" s="95" t="s">
        <v>377</v>
      </c>
      <c r="O35" s="77"/>
      <c r="Q35" s="90"/>
    </row>
    <row r="36" spans="1:29" x14ac:dyDescent="0.35">
      <c r="A36" s="84" t="s">
        <v>59</v>
      </c>
      <c r="B36" s="96" t="e">
        <f t="shared" ref="B36:M36" si="9">B26*$Q$33</f>
        <v>#DIV/0!</v>
      </c>
      <c r="C36" s="96" t="e">
        <f t="shared" si="9"/>
        <v>#DIV/0!</v>
      </c>
      <c r="D36" s="96" t="e">
        <f t="shared" si="9"/>
        <v>#DIV/0!</v>
      </c>
      <c r="E36" s="96" t="e">
        <f t="shared" si="9"/>
        <v>#DIV/0!</v>
      </c>
      <c r="F36" s="96" t="e">
        <f t="shared" si="9"/>
        <v>#DIV/0!</v>
      </c>
      <c r="G36" s="96" t="e">
        <f t="shared" si="9"/>
        <v>#DIV/0!</v>
      </c>
      <c r="H36" s="96" t="e">
        <f t="shared" si="9"/>
        <v>#DIV/0!</v>
      </c>
      <c r="I36" s="96" t="e">
        <f t="shared" si="9"/>
        <v>#DIV/0!</v>
      </c>
      <c r="J36" s="96" t="e">
        <f t="shared" si="9"/>
        <v>#DIV/0!</v>
      </c>
      <c r="K36" s="96" t="e">
        <f t="shared" si="9"/>
        <v>#DIV/0!</v>
      </c>
      <c r="L36" s="96" t="e">
        <f t="shared" si="9"/>
        <v>#DIV/0!</v>
      </c>
      <c r="M36" s="96" t="e">
        <f t="shared" si="9"/>
        <v>#DIV/0!</v>
      </c>
      <c r="N36" s="97" t="e">
        <f t="shared" ref="N36:N43" si="10">AVERAGE(B36:M36)</f>
        <v>#DIV/0!</v>
      </c>
      <c r="O36" s="77"/>
      <c r="Q36" s="90"/>
      <c r="AB36" s="98"/>
      <c r="AC36" s="98"/>
    </row>
    <row r="37" spans="1:29" x14ac:dyDescent="0.35">
      <c r="A37" s="84" t="s">
        <v>72</v>
      </c>
      <c r="B37" s="96" t="e">
        <f t="shared" ref="B37:M37" si="11">B27*$Q$33</f>
        <v>#DIV/0!</v>
      </c>
      <c r="C37" s="96" t="e">
        <f t="shared" si="11"/>
        <v>#DIV/0!</v>
      </c>
      <c r="D37" s="96" t="e">
        <f t="shared" si="11"/>
        <v>#DIV/0!</v>
      </c>
      <c r="E37" s="96" t="e">
        <f t="shared" si="11"/>
        <v>#DIV/0!</v>
      </c>
      <c r="F37" s="96" t="e">
        <f t="shared" si="11"/>
        <v>#DIV/0!</v>
      </c>
      <c r="G37" s="96" t="e">
        <f t="shared" si="11"/>
        <v>#DIV/0!</v>
      </c>
      <c r="H37" s="96" t="e">
        <f t="shared" si="11"/>
        <v>#DIV/0!</v>
      </c>
      <c r="I37" s="96" t="e">
        <f t="shared" si="11"/>
        <v>#DIV/0!</v>
      </c>
      <c r="J37" s="96" t="e">
        <f t="shared" si="11"/>
        <v>#DIV/0!</v>
      </c>
      <c r="K37" s="96" t="e">
        <f t="shared" si="11"/>
        <v>#DIV/0!</v>
      </c>
      <c r="L37" s="96" t="e">
        <f t="shared" si="11"/>
        <v>#DIV/0!</v>
      </c>
      <c r="M37" s="96" t="e">
        <f t="shared" si="11"/>
        <v>#DIV/0!</v>
      </c>
      <c r="N37" s="97" t="e">
        <f t="shared" si="10"/>
        <v>#DIV/0!</v>
      </c>
      <c r="O37" s="77"/>
      <c r="P37" s="80" t="s">
        <v>378</v>
      </c>
      <c r="Q37" t="s">
        <v>338</v>
      </c>
    </row>
    <row r="38" spans="1:29" x14ac:dyDescent="0.35">
      <c r="A38" s="84" t="s">
        <v>85</v>
      </c>
      <c r="B38" s="96" t="e">
        <f t="shared" ref="B38:M38" si="12">B28*$Q$33</f>
        <v>#DIV/0!</v>
      </c>
      <c r="C38" s="96" t="e">
        <f t="shared" si="12"/>
        <v>#DIV/0!</v>
      </c>
      <c r="D38" s="96" t="e">
        <f t="shared" si="12"/>
        <v>#DIV/0!</v>
      </c>
      <c r="E38" s="96" t="e">
        <f t="shared" si="12"/>
        <v>#DIV/0!</v>
      </c>
      <c r="F38" s="96" t="e">
        <f t="shared" si="12"/>
        <v>#DIV/0!</v>
      </c>
      <c r="G38" s="96" t="e">
        <f t="shared" si="12"/>
        <v>#DIV/0!</v>
      </c>
      <c r="H38" s="96" t="e">
        <f t="shared" si="12"/>
        <v>#DIV/0!</v>
      </c>
      <c r="I38" s="96" t="e">
        <f t="shared" si="12"/>
        <v>#DIV/0!</v>
      </c>
      <c r="J38" s="96" t="e">
        <f t="shared" si="12"/>
        <v>#DIV/0!</v>
      </c>
      <c r="K38" s="96" t="e">
        <f t="shared" si="12"/>
        <v>#DIV/0!</v>
      </c>
      <c r="L38" s="96" t="e">
        <f t="shared" si="12"/>
        <v>#DIV/0!</v>
      </c>
      <c r="M38" s="96" t="e">
        <f t="shared" si="12"/>
        <v>#DIV/0!</v>
      </c>
      <c r="N38" s="97" t="e">
        <f t="shared" si="10"/>
        <v>#DIV/0!</v>
      </c>
      <c r="O38" s="77"/>
    </row>
    <row r="39" spans="1:29" x14ac:dyDescent="0.35">
      <c r="A39" s="84" t="s">
        <v>98</v>
      </c>
      <c r="B39" s="96" t="e">
        <f t="shared" ref="B39:M39" si="13">B29*$Q$33</f>
        <v>#DIV/0!</v>
      </c>
      <c r="C39" s="96" t="e">
        <f t="shared" si="13"/>
        <v>#DIV/0!</v>
      </c>
      <c r="D39" s="96" t="e">
        <f t="shared" si="13"/>
        <v>#DIV/0!</v>
      </c>
      <c r="E39" s="96" t="e">
        <f t="shared" si="13"/>
        <v>#DIV/0!</v>
      </c>
      <c r="F39" s="96" t="e">
        <f t="shared" si="13"/>
        <v>#DIV/0!</v>
      </c>
      <c r="G39" s="96" t="e">
        <f t="shared" si="13"/>
        <v>#DIV/0!</v>
      </c>
      <c r="H39" s="96" t="e">
        <f t="shared" si="13"/>
        <v>#DIV/0!</v>
      </c>
      <c r="I39" s="96" t="e">
        <f t="shared" si="13"/>
        <v>#DIV/0!</v>
      </c>
      <c r="J39" s="96" t="e">
        <f t="shared" si="13"/>
        <v>#DIV/0!</v>
      </c>
      <c r="K39" s="96" t="e">
        <f t="shared" si="13"/>
        <v>#DIV/0!</v>
      </c>
      <c r="L39" s="96" t="e">
        <f t="shared" si="13"/>
        <v>#DIV/0!</v>
      </c>
      <c r="M39" s="96" t="e">
        <f t="shared" si="13"/>
        <v>#DIV/0!</v>
      </c>
      <c r="N39" s="97" t="e">
        <f t="shared" si="10"/>
        <v>#DIV/0!</v>
      </c>
      <c r="O39" s="77"/>
      <c r="Q39" s="85">
        <v>1</v>
      </c>
      <c r="R39" s="85">
        <v>2</v>
      </c>
      <c r="S39" s="85">
        <v>3</v>
      </c>
      <c r="T39" s="85">
        <v>4</v>
      </c>
      <c r="U39" s="85">
        <v>5</v>
      </c>
      <c r="V39" s="85">
        <v>6</v>
      </c>
      <c r="W39" s="85">
        <v>7</v>
      </c>
      <c r="X39" s="85">
        <v>8</v>
      </c>
      <c r="Y39" s="85">
        <v>9</v>
      </c>
      <c r="Z39" s="85">
        <v>10</v>
      </c>
      <c r="AA39" s="85">
        <v>11</v>
      </c>
      <c r="AB39" s="85">
        <v>12</v>
      </c>
    </row>
    <row r="40" spans="1:29" x14ac:dyDescent="0.35">
      <c r="A40" s="84" t="s">
        <v>111</v>
      </c>
      <c r="B40" s="96" t="e">
        <f t="shared" ref="B40:M40" si="14">B30*$Q$33</f>
        <v>#DIV/0!</v>
      </c>
      <c r="C40" s="96" t="e">
        <f t="shared" si="14"/>
        <v>#DIV/0!</v>
      </c>
      <c r="D40" s="96" t="e">
        <f t="shared" si="14"/>
        <v>#DIV/0!</v>
      </c>
      <c r="E40" s="96" t="e">
        <f t="shared" si="14"/>
        <v>#DIV/0!</v>
      </c>
      <c r="F40" s="96" t="e">
        <f t="shared" si="14"/>
        <v>#DIV/0!</v>
      </c>
      <c r="G40" s="96" t="e">
        <f t="shared" si="14"/>
        <v>#DIV/0!</v>
      </c>
      <c r="H40" s="96" t="e">
        <f t="shared" si="14"/>
        <v>#DIV/0!</v>
      </c>
      <c r="I40" s="96" t="e">
        <f t="shared" si="14"/>
        <v>#DIV/0!</v>
      </c>
      <c r="J40" s="96" t="e">
        <f t="shared" si="14"/>
        <v>#DIV/0!</v>
      </c>
      <c r="K40" s="96" t="e">
        <f t="shared" si="14"/>
        <v>#DIV/0!</v>
      </c>
      <c r="L40" s="96" t="e">
        <f t="shared" si="14"/>
        <v>#DIV/0!</v>
      </c>
      <c r="M40" s="96" t="e">
        <f t="shared" si="14"/>
        <v>#DIV/0!</v>
      </c>
      <c r="N40" s="97" t="e">
        <f t="shared" si="10"/>
        <v>#DIV/0!</v>
      </c>
      <c r="O40" s="77"/>
      <c r="P40" s="84" t="s">
        <v>59</v>
      </c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</row>
    <row r="41" spans="1:29" x14ac:dyDescent="0.35">
      <c r="A41" s="84" t="s">
        <v>124</v>
      </c>
      <c r="B41" s="96" t="e">
        <f t="shared" ref="B41:M41" si="15">B31*$Q$33</f>
        <v>#DIV/0!</v>
      </c>
      <c r="C41" s="96" t="e">
        <f t="shared" si="15"/>
        <v>#DIV/0!</v>
      </c>
      <c r="D41" s="96" t="e">
        <f t="shared" si="15"/>
        <v>#DIV/0!</v>
      </c>
      <c r="E41" s="96" t="e">
        <f t="shared" si="15"/>
        <v>#DIV/0!</v>
      </c>
      <c r="F41" s="96" t="e">
        <f t="shared" si="15"/>
        <v>#DIV/0!</v>
      </c>
      <c r="G41" s="96" t="e">
        <f t="shared" si="15"/>
        <v>#DIV/0!</v>
      </c>
      <c r="H41" s="96" t="e">
        <f t="shared" si="15"/>
        <v>#DIV/0!</v>
      </c>
      <c r="I41" s="96" t="e">
        <f t="shared" si="15"/>
        <v>#DIV/0!</v>
      </c>
      <c r="J41" s="96" t="e">
        <f t="shared" si="15"/>
        <v>#DIV/0!</v>
      </c>
      <c r="K41" s="96" t="e">
        <f t="shared" si="15"/>
        <v>#DIV/0!</v>
      </c>
      <c r="L41" s="96" t="e">
        <f t="shared" si="15"/>
        <v>#DIV/0!</v>
      </c>
      <c r="M41" s="96" t="e">
        <f t="shared" si="15"/>
        <v>#DIV/0!</v>
      </c>
      <c r="N41" s="97" t="e">
        <f t="shared" si="10"/>
        <v>#DIV/0!</v>
      </c>
      <c r="O41" s="77"/>
      <c r="P41" s="84" t="s">
        <v>72</v>
      </c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</row>
    <row r="42" spans="1:29" x14ac:dyDescent="0.35">
      <c r="A42" s="84" t="s">
        <v>137</v>
      </c>
      <c r="B42" s="96" t="e">
        <f t="shared" ref="B42:M42" si="16">B32*$Q$33</f>
        <v>#DIV/0!</v>
      </c>
      <c r="C42" s="96" t="e">
        <f t="shared" si="16"/>
        <v>#DIV/0!</v>
      </c>
      <c r="D42" s="96" t="e">
        <f t="shared" si="16"/>
        <v>#DIV/0!</v>
      </c>
      <c r="E42" s="96" t="e">
        <f t="shared" si="16"/>
        <v>#DIV/0!</v>
      </c>
      <c r="F42" s="96" t="e">
        <f t="shared" si="16"/>
        <v>#DIV/0!</v>
      </c>
      <c r="G42" s="96" t="e">
        <f t="shared" si="16"/>
        <v>#DIV/0!</v>
      </c>
      <c r="H42" s="96" t="e">
        <f t="shared" si="16"/>
        <v>#DIV/0!</v>
      </c>
      <c r="I42" s="96" t="e">
        <f t="shared" si="16"/>
        <v>#DIV/0!</v>
      </c>
      <c r="J42" s="96" t="e">
        <f t="shared" si="16"/>
        <v>#DIV/0!</v>
      </c>
      <c r="K42" s="96" t="e">
        <f t="shared" si="16"/>
        <v>#DIV/0!</v>
      </c>
      <c r="L42" s="96" t="e">
        <f t="shared" si="16"/>
        <v>#DIV/0!</v>
      </c>
      <c r="M42" s="96" t="e">
        <f t="shared" si="16"/>
        <v>#DIV/0!</v>
      </c>
      <c r="N42" s="97" t="e">
        <f t="shared" si="10"/>
        <v>#DIV/0!</v>
      </c>
      <c r="O42" s="77"/>
      <c r="P42" s="84" t="s">
        <v>85</v>
      </c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</row>
    <row r="43" spans="1:29" x14ac:dyDescent="0.35">
      <c r="A43" s="84" t="s">
        <v>150</v>
      </c>
      <c r="B43" s="96" t="e">
        <f t="shared" ref="B43:M43" si="17">B33*$Q$33</f>
        <v>#DIV/0!</v>
      </c>
      <c r="C43" s="96" t="e">
        <f t="shared" si="17"/>
        <v>#DIV/0!</v>
      </c>
      <c r="D43" s="96" t="e">
        <f t="shared" si="17"/>
        <v>#DIV/0!</v>
      </c>
      <c r="E43" s="96" t="e">
        <f t="shared" si="17"/>
        <v>#DIV/0!</v>
      </c>
      <c r="F43" s="96" t="e">
        <f t="shared" si="17"/>
        <v>#DIV/0!</v>
      </c>
      <c r="G43" s="96" t="e">
        <f t="shared" si="17"/>
        <v>#DIV/0!</v>
      </c>
      <c r="H43" s="96" t="e">
        <f t="shared" si="17"/>
        <v>#DIV/0!</v>
      </c>
      <c r="I43" s="96" t="e">
        <f t="shared" si="17"/>
        <v>#DIV/0!</v>
      </c>
      <c r="J43" s="96" t="e">
        <f t="shared" si="17"/>
        <v>#DIV/0!</v>
      </c>
      <c r="K43" s="96" t="e">
        <f t="shared" si="17"/>
        <v>#DIV/0!</v>
      </c>
      <c r="L43" s="96" t="e">
        <f t="shared" si="17"/>
        <v>#DIV/0!</v>
      </c>
      <c r="M43" s="96" t="e">
        <f t="shared" si="17"/>
        <v>#DIV/0!</v>
      </c>
      <c r="N43" s="97" t="e">
        <f t="shared" si="10"/>
        <v>#DIV/0!</v>
      </c>
      <c r="O43" s="77"/>
      <c r="P43" s="84" t="s">
        <v>98</v>
      </c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</row>
    <row r="44" spans="1:29" x14ac:dyDescent="0.35">
      <c r="A44" s="95" t="s">
        <v>379</v>
      </c>
      <c r="B44" s="97" t="e">
        <f t="shared" ref="B44:M44" si="18">AVERAGE(B36:B43)</f>
        <v>#DIV/0!</v>
      </c>
      <c r="C44" s="97" t="e">
        <f t="shared" si="18"/>
        <v>#DIV/0!</v>
      </c>
      <c r="D44" s="97" t="e">
        <f t="shared" si="18"/>
        <v>#DIV/0!</v>
      </c>
      <c r="E44" s="97" t="e">
        <f t="shared" si="18"/>
        <v>#DIV/0!</v>
      </c>
      <c r="F44" s="97" t="e">
        <f t="shared" si="18"/>
        <v>#DIV/0!</v>
      </c>
      <c r="G44" s="97" t="e">
        <f t="shared" si="18"/>
        <v>#DIV/0!</v>
      </c>
      <c r="H44" s="97" t="e">
        <f t="shared" si="18"/>
        <v>#DIV/0!</v>
      </c>
      <c r="I44" s="97" t="e">
        <f t="shared" si="18"/>
        <v>#DIV/0!</v>
      </c>
      <c r="J44" s="97" t="e">
        <f t="shared" si="18"/>
        <v>#DIV/0!</v>
      </c>
      <c r="K44" s="97" t="e">
        <f t="shared" si="18"/>
        <v>#DIV/0!</v>
      </c>
      <c r="L44" s="97" t="e">
        <f t="shared" si="18"/>
        <v>#DIV/0!</v>
      </c>
      <c r="M44" s="97" t="e">
        <f t="shared" si="18"/>
        <v>#DIV/0!</v>
      </c>
      <c r="O44" s="77"/>
      <c r="P44" s="84" t="s">
        <v>111</v>
      </c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</row>
    <row r="45" spans="1:29" x14ac:dyDescent="0.35">
      <c r="O45" s="77"/>
      <c r="P45" s="84" t="s">
        <v>124</v>
      </c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</row>
    <row r="46" spans="1:29" x14ac:dyDescent="0.35">
      <c r="B46" s="99" t="s">
        <v>356</v>
      </c>
      <c r="C46" s="100" t="e">
        <f>AVERAGE(B36:M43)</f>
        <v>#DIV/0!</v>
      </c>
      <c r="O46" s="77"/>
      <c r="P46" s="84" t="s">
        <v>137</v>
      </c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</row>
    <row r="47" spans="1:29" x14ac:dyDescent="0.35">
      <c r="B47" s="99" t="s">
        <v>46</v>
      </c>
      <c r="C47" s="101" t="e">
        <f>_xlfn.STDEV.P(B36:M43)/C46*100</f>
        <v>#DIV/0!</v>
      </c>
      <c r="O47" s="77"/>
      <c r="P47" s="84" t="s">
        <v>150</v>
      </c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</row>
    <row r="48" spans="1:29" x14ac:dyDescent="0.35">
      <c r="B48" s="99" t="s">
        <v>380</v>
      </c>
      <c r="C48" s="102" t="e">
        <f>MIN(B36:M43)</f>
        <v>#DIV/0!</v>
      </c>
      <c r="O48" s="77"/>
    </row>
    <row r="49" spans="2:15" x14ac:dyDescent="0.35">
      <c r="B49" s="99" t="s">
        <v>381</v>
      </c>
      <c r="C49" s="102" t="e">
        <f>MAX(B36:M43)</f>
        <v>#DIV/0!</v>
      </c>
      <c r="O49" s="77"/>
    </row>
  </sheetData>
  <mergeCells count="2">
    <mergeCell ref="A1:M1"/>
    <mergeCell ref="P1:AB1"/>
  </mergeCells>
  <conditionalFormatting sqref="B6:M13">
    <cfRule type="colorScale" priority="4">
      <colorScale>
        <cfvo type="min"/>
        <cfvo type="max"/>
        <color rgb="FFFCFCFF"/>
        <color rgb="FF63BE7B"/>
      </colorScale>
    </cfRule>
  </conditionalFormatting>
  <conditionalFormatting sqref="B16:M23">
    <cfRule type="colorScale" priority="3">
      <colorScale>
        <cfvo type="min"/>
        <cfvo type="max"/>
        <color rgb="FFFCFCFF"/>
        <color rgb="FF63BE7B"/>
      </colorScale>
    </cfRule>
  </conditionalFormatting>
  <conditionalFormatting sqref="B36:M4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showInputMessage="1" showErrorMessage="1" sqref="Q34" xr:uid="{00000000-0002-0000-0700-000000000000}">
      <formula1>#REF!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ExtinctionCoeff">
                <anchor moveWithCells="1">
                  <from>
                    <xdr:col>18</xdr:col>
                    <xdr:colOff>755650</xdr:colOff>
                    <xdr:row>29</xdr:row>
                    <xdr:rowOff>114300</xdr:rowOff>
                  </from>
                  <to>
                    <xdr:col>20</xdr:col>
                    <xdr:colOff>647700</xdr:colOff>
                    <xdr:row>32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6"/>
  <dimension ref="A2:O84"/>
  <sheetViews>
    <sheetView zoomScale="85" zoomScaleNormal="85" workbookViewId="0">
      <selection activeCell="L90" sqref="L90"/>
    </sheetView>
  </sheetViews>
  <sheetFormatPr baseColWidth="10" defaultRowHeight="14.5" x14ac:dyDescent="0.35"/>
  <sheetData>
    <row r="2" spans="1:9" x14ac:dyDescent="0.35">
      <c r="A2" t="s">
        <v>382</v>
      </c>
      <c r="B2" t="s">
        <v>383</v>
      </c>
    </row>
    <row r="4" spans="1:9" x14ac:dyDescent="0.35">
      <c r="A4" t="s">
        <v>384</v>
      </c>
      <c r="B4" s="281" t="s">
        <v>385</v>
      </c>
      <c r="C4" s="281"/>
      <c r="D4" s="281"/>
      <c r="E4" s="281"/>
      <c r="F4" s="281"/>
      <c r="G4" s="281"/>
      <c r="H4" s="281"/>
      <c r="I4" s="281"/>
    </row>
    <row r="5" spans="1:9" x14ac:dyDescent="0.35">
      <c r="A5" s="201" t="s">
        <v>386</v>
      </c>
      <c r="B5" s="313" t="s">
        <v>387</v>
      </c>
      <c r="C5" s="281"/>
      <c r="D5" s="281"/>
      <c r="E5" s="281"/>
      <c r="F5" s="281"/>
      <c r="G5" s="281"/>
      <c r="H5" s="281"/>
    </row>
    <row r="6" spans="1:9" x14ac:dyDescent="0.35">
      <c r="A6" s="201" t="s">
        <v>388</v>
      </c>
      <c r="B6" s="201" t="s">
        <v>389</v>
      </c>
    </row>
    <row r="7" spans="1:9" x14ac:dyDescent="0.35">
      <c r="A7" s="201" t="s">
        <v>3</v>
      </c>
      <c r="B7" s="103">
        <v>43852</v>
      </c>
    </row>
    <row r="8" spans="1:9" x14ac:dyDescent="0.35">
      <c r="A8" s="201" t="s">
        <v>390</v>
      </c>
      <c r="B8" s="104">
        <v>0.42372685185185183</v>
      </c>
    </row>
    <row r="9" spans="1:9" x14ac:dyDescent="0.35">
      <c r="A9" s="201" t="s">
        <v>391</v>
      </c>
      <c r="B9" s="201" t="s">
        <v>392</v>
      </c>
    </row>
    <row r="10" spans="1:9" x14ac:dyDescent="0.35">
      <c r="A10" s="201" t="s">
        <v>393</v>
      </c>
      <c r="B10" s="105">
        <v>1910115</v>
      </c>
    </row>
    <row r="11" spans="1:9" x14ac:dyDescent="0.35">
      <c r="A11" s="201" t="s">
        <v>394</v>
      </c>
      <c r="B11" s="201" t="s">
        <v>395</v>
      </c>
    </row>
    <row r="13" spans="1:9" x14ac:dyDescent="0.35">
      <c r="A13" s="106" t="s">
        <v>396</v>
      </c>
    </row>
    <row r="14" spans="1:9" x14ac:dyDescent="0.35">
      <c r="A14" s="201" t="s">
        <v>397</v>
      </c>
      <c r="B14" s="281" t="s">
        <v>398</v>
      </c>
      <c r="C14" s="281"/>
      <c r="D14" s="281"/>
    </row>
    <row r="15" spans="1:9" x14ac:dyDescent="0.35">
      <c r="A15" s="107" t="s">
        <v>399</v>
      </c>
    </row>
    <row r="16" spans="1:9" x14ac:dyDescent="0.35">
      <c r="A16" s="201" t="s">
        <v>400</v>
      </c>
      <c r="B16" s="281" t="s">
        <v>401</v>
      </c>
      <c r="C16" s="281"/>
    </row>
    <row r="17" spans="1:15" x14ac:dyDescent="0.35">
      <c r="B17" s="201" t="s">
        <v>402</v>
      </c>
    </row>
    <row r="18" spans="1:15" x14ac:dyDescent="0.35">
      <c r="B18" s="281" t="s">
        <v>403</v>
      </c>
      <c r="C18" s="281"/>
      <c r="D18" s="281"/>
      <c r="E18" s="281"/>
    </row>
    <row r="19" spans="1:15" x14ac:dyDescent="0.35">
      <c r="B19" s="281" t="s">
        <v>404</v>
      </c>
      <c r="C19" s="281"/>
      <c r="D19" s="281"/>
      <c r="E19" s="281"/>
      <c r="F19" s="281"/>
      <c r="G19" s="281"/>
    </row>
    <row r="21" spans="1:15" x14ac:dyDescent="0.35">
      <c r="A21" s="108">
        <v>230</v>
      </c>
    </row>
    <row r="22" spans="1:15" x14ac:dyDescent="0.35">
      <c r="A22" s="201" t="s">
        <v>405</v>
      </c>
      <c r="B22" s="105">
        <v>0</v>
      </c>
    </row>
    <row r="24" spans="1:15" x14ac:dyDescent="0.35">
      <c r="B24" s="109"/>
      <c r="C24" s="110">
        <v>1</v>
      </c>
      <c r="D24" s="110">
        <v>2</v>
      </c>
      <c r="E24" s="110">
        <v>3</v>
      </c>
      <c r="F24" s="110">
        <v>4</v>
      </c>
      <c r="G24" s="110">
        <v>5</v>
      </c>
      <c r="H24" s="110">
        <v>6</v>
      </c>
      <c r="I24" s="110">
        <v>7</v>
      </c>
      <c r="J24" s="110">
        <v>8</v>
      </c>
      <c r="K24" s="110">
        <v>9</v>
      </c>
      <c r="L24" s="110">
        <v>10</v>
      </c>
      <c r="M24" s="110">
        <v>11</v>
      </c>
      <c r="N24" s="110">
        <v>12</v>
      </c>
    </row>
    <row r="25" spans="1:15" x14ac:dyDescent="0.35">
      <c r="B25" s="110" t="s">
        <v>59</v>
      </c>
      <c r="C25" s="111"/>
      <c r="D25" s="112"/>
      <c r="E25" s="113"/>
      <c r="F25" s="114"/>
      <c r="G25" s="115"/>
      <c r="H25" s="115"/>
      <c r="I25" s="111"/>
      <c r="J25" s="116"/>
      <c r="K25" s="112"/>
      <c r="L25" s="111"/>
      <c r="M25" s="115"/>
      <c r="N25" s="117"/>
      <c r="O25" s="118">
        <v>230</v>
      </c>
    </row>
    <row r="26" spans="1:15" x14ac:dyDescent="0.35">
      <c r="B26" s="110" t="s">
        <v>72</v>
      </c>
      <c r="C26" s="116"/>
      <c r="D26" s="116"/>
      <c r="E26" s="115"/>
      <c r="F26" s="115"/>
      <c r="G26" s="114"/>
      <c r="H26" s="116"/>
      <c r="I26" s="116"/>
      <c r="J26" s="112"/>
      <c r="K26" s="116"/>
      <c r="L26" s="111"/>
      <c r="M26" s="114"/>
      <c r="N26" s="111"/>
      <c r="O26" s="118">
        <v>230</v>
      </c>
    </row>
    <row r="27" spans="1:15" x14ac:dyDescent="0.35">
      <c r="B27" s="110" t="s">
        <v>85</v>
      </c>
      <c r="C27" s="119"/>
      <c r="D27" s="116"/>
      <c r="E27" s="120"/>
      <c r="F27" s="112"/>
      <c r="G27" s="113"/>
      <c r="H27" s="114"/>
      <c r="I27" s="111"/>
      <c r="J27" s="112"/>
      <c r="K27" s="112"/>
      <c r="L27" s="112"/>
      <c r="M27" s="114"/>
      <c r="N27" s="113"/>
      <c r="O27" s="118">
        <v>230</v>
      </c>
    </row>
    <row r="28" spans="1:15" x14ac:dyDescent="0.35">
      <c r="B28" s="110" t="s">
        <v>98</v>
      </c>
      <c r="C28" s="111"/>
      <c r="D28" s="112"/>
      <c r="E28" s="113"/>
      <c r="F28" s="116"/>
      <c r="G28" s="113"/>
      <c r="H28" s="111"/>
      <c r="I28" s="111"/>
      <c r="J28" s="121"/>
      <c r="K28" s="116"/>
      <c r="L28" s="116"/>
      <c r="M28" s="111"/>
      <c r="N28" s="122"/>
      <c r="O28" s="118">
        <v>230</v>
      </c>
    </row>
    <row r="29" spans="1:15" x14ac:dyDescent="0.35">
      <c r="B29" s="110" t="s">
        <v>111</v>
      </c>
      <c r="C29" s="112"/>
      <c r="D29" s="113"/>
      <c r="E29" s="116"/>
      <c r="F29" s="116"/>
      <c r="G29" s="113"/>
      <c r="H29" s="111"/>
      <c r="I29" s="116"/>
      <c r="J29" s="111"/>
      <c r="K29" s="111"/>
      <c r="L29" s="111"/>
      <c r="M29" s="111"/>
      <c r="N29" s="120"/>
      <c r="O29" s="118">
        <v>230</v>
      </c>
    </row>
    <row r="30" spans="1:15" x14ac:dyDescent="0.35">
      <c r="B30" s="110" t="s">
        <v>124</v>
      </c>
      <c r="C30" s="113"/>
      <c r="D30" s="112"/>
      <c r="E30" s="115"/>
      <c r="F30" s="113"/>
      <c r="G30" s="113"/>
      <c r="H30" s="122"/>
      <c r="I30" s="116"/>
      <c r="J30" s="113"/>
      <c r="K30" s="111"/>
      <c r="L30" s="116"/>
      <c r="M30" s="112"/>
      <c r="N30" s="112"/>
      <c r="O30" s="118">
        <v>230</v>
      </c>
    </row>
    <row r="31" spans="1:15" x14ac:dyDescent="0.35">
      <c r="B31" s="110" t="s">
        <v>137</v>
      </c>
      <c r="C31" s="116"/>
      <c r="D31" s="123"/>
      <c r="E31" s="111"/>
      <c r="F31" s="116"/>
      <c r="G31" s="122"/>
      <c r="H31" s="111"/>
      <c r="I31" s="116"/>
      <c r="J31" s="112"/>
      <c r="K31" s="115"/>
      <c r="L31" s="114"/>
      <c r="M31" s="111"/>
      <c r="N31" s="111"/>
      <c r="O31" s="118">
        <v>230</v>
      </c>
    </row>
    <row r="32" spans="1:15" x14ac:dyDescent="0.35">
      <c r="B32" s="110" t="s">
        <v>150</v>
      </c>
      <c r="C32" s="122"/>
      <c r="D32" s="116"/>
      <c r="E32" s="119"/>
      <c r="F32" s="115"/>
      <c r="G32" s="113"/>
      <c r="H32" s="113"/>
      <c r="I32" s="113"/>
      <c r="J32" s="123"/>
      <c r="K32" s="111"/>
      <c r="L32" s="113"/>
      <c r="M32" s="122"/>
      <c r="N32" s="121"/>
      <c r="O32" s="118">
        <v>230</v>
      </c>
    </row>
    <row r="34" spans="1:15" x14ac:dyDescent="0.35">
      <c r="A34" s="108">
        <v>260</v>
      </c>
    </row>
    <row r="35" spans="1:15" x14ac:dyDescent="0.35">
      <c r="A35" s="201" t="s">
        <v>405</v>
      </c>
      <c r="B35" s="105">
        <v>0</v>
      </c>
    </row>
    <row r="37" spans="1:15" x14ac:dyDescent="0.35">
      <c r="B37" s="109"/>
      <c r="C37" s="110">
        <v>1</v>
      </c>
      <c r="D37" s="110">
        <v>2</v>
      </c>
      <c r="E37" s="110">
        <v>3</v>
      </c>
      <c r="F37" s="110">
        <v>4</v>
      </c>
      <c r="G37" s="110">
        <v>5</v>
      </c>
      <c r="H37" s="110">
        <v>6</v>
      </c>
      <c r="I37" s="110">
        <v>7</v>
      </c>
      <c r="J37" s="110">
        <v>8</v>
      </c>
      <c r="K37" s="110">
        <v>9</v>
      </c>
      <c r="L37" s="110">
        <v>10</v>
      </c>
      <c r="M37" s="110">
        <v>11</v>
      </c>
      <c r="N37" s="110">
        <v>12</v>
      </c>
    </row>
    <row r="38" spans="1:15" x14ac:dyDescent="0.35">
      <c r="B38" s="110" t="s">
        <v>59</v>
      </c>
      <c r="C38" s="112"/>
      <c r="D38" s="124"/>
      <c r="E38" s="116"/>
      <c r="F38" s="120"/>
      <c r="G38" s="117"/>
      <c r="H38" s="124"/>
      <c r="I38" s="120"/>
      <c r="J38" s="114"/>
      <c r="K38" s="114"/>
      <c r="L38" s="111"/>
      <c r="M38" s="120"/>
      <c r="N38" s="114"/>
      <c r="O38" s="118">
        <v>260</v>
      </c>
    </row>
    <row r="39" spans="1:15" x14ac:dyDescent="0.35">
      <c r="B39" s="110" t="s">
        <v>72</v>
      </c>
      <c r="C39" s="114"/>
      <c r="D39" s="111"/>
      <c r="E39" s="120"/>
      <c r="F39" s="125"/>
      <c r="G39" s="111"/>
      <c r="H39" s="111"/>
      <c r="I39" s="111"/>
      <c r="J39" s="112"/>
      <c r="K39" s="112"/>
      <c r="L39" s="120"/>
      <c r="M39" s="120"/>
      <c r="N39" s="120"/>
      <c r="O39" s="118">
        <v>260</v>
      </c>
    </row>
    <row r="40" spans="1:15" x14ac:dyDescent="0.35">
      <c r="B40" s="110" t="s">
        <v>85</v>
      </c>
      <c r="C40" s="113"/>
      <c r="D40" s="122"/>
      <c r="E40" s="121"/>
      <c r="F40" s="111"/>
      <c r="G40" s="113"/>
      <c r="H40" s="112"/>
      <c r="I40" s="111"/>
      <c r="J40" s="116"/>
      <c r="K40" s="112"/>
      <c r="L40" s="111"/>
      <c r="M40" s="120"/>
      <c r="N40" s="116"/>
      <c r="O40" s="118">
        <v>260</v>
      </c>
    </row>
    <row r="41" spans="1:15" x14ac:dyDescent="0.35">
      <c r="B41" s="110" t="s">
        <v>98</v>
      </c>
      <c r="C41" s="112"/>
      <c r="D41" s="120"/>
      <c r="E41" s="122"/>
      <c r="F41" s="111"/>
      <c r="G41" s="111"/>
      <c r="H41" s="124"/>
      <c r="I41" s="111"/>
      <c r="J41" s="125"/>
      <c r="K41" s="112"/>
      <c r="L41" s="112"/>
      <c r="M41" s="112"/>
      <c r="N41" s="113"/>
      <c r="O41" s="118">
        <v>260</v>
      </c>
    </row>
    <row r="42" spans="1:15" x14ac:dyDescent="0.35">
      <c r="B42" s="110" t="s">
        <v>111</v>
      </c>
      <c r="C42" s="111"/>
      <c r="D42" s="119"/>
      <c r="E42" s="116"/>
      <c r="F42" s="122"/>
      <c r="G42" s="113"/>
      <c r="H42" s="111"/>
      <c r="I42" s="116"/>
      <c r="J42" s="112"/>
      <c r="K42" s="111"/>
      <c r="L42" s="113"/>
      <c r="M42" s="111"/>
      <c r="N42" s="114"/>
      <c r="O42" s="118">
        <v>260</v>
      </c>
    </row>
    <row r="43" spans="1:15" x14ac:dyDescent="0.35">
      <c r="B43" s="110" t="s">
        <v>124</v>
      </c>
      <c r="C43" s="119"/>
      <c r="D43" s="116"/>
      <c r="E43" s="112"/>
      <c r="F43" s="122"/>
      <c r="G43" s="116"/>
      <c r="H43" s="113"/>
      <c r="I43" s="111"/>
      <c r="J43" s="113"/>
      <c r="K43" s="119"/>
      <c r="L43" s="116"/>
      <c r="M43" s="116"/>
      <c r="N43" s="111"/>
      <c r="O43" s="118">
        <v>260</v>
      </c>
    </row>
    <row r="44" spans="1:15" x14ac:dyDescent="0.35">
      <c r="B44" s="110" t="s">
        <v>137</v>
      </c>
      <c r="C44" s="116"/>
      <c r="D44" s="123"/>
      <c r="E44" s="112"/>
      <c r="F44" s="113"/>
      <c r="G44" s="113"/>
      <c r="H44" s="113"/>
      <c r="I44" s="112"/>
      <c r="J44" s="111"/>
      <c r="K44" s="111"/>
      <c r="L44" s="114"/>
      <c r="M44" s="112"/>
      <c r="N44" s="111"/>
      <c r="O44" s="118">
        <v>260</v>
      </c>
    </row>
    <row r="45" spans="1:15" x14ac:dyDescent="0.35">
      <c r="B45" s="110" t="s">
        <v>150</v>
      </c>
      <c r="C45" s="111"/>
      <c r="D45" s="115"/>
      <c r="E45" s="119"/>
      <c r="F45" s="125"/>
      <c r="G45" s="111"/>
      <c r="H45" s="116"/>
      <c r="I45" s="114"/>
      <c r="J45" s="122"/>
      <c r="K45" s="112"/>
      <c r="L45" s="111"/>
      <c r="M45" s="116"/>
      <c r="N45" s="117"/>
      <c r="O45" s="118">
        <v>260</v>
      </c>
    </row>
    <row r="47" spans="1:15" x14ac:dyDescent="0.35">
      <c r="A47" s="108">
        <v>280</v>
      </c>
    </row>
    <row r="48" spans="1:15" x14ac:dyDescent="0.35">
      <c r="A48" s="201" t="s">
        <v>405</v>
      </c>
      <c r="B48" s="105">
        <v>0</v>
      </c>
    </row>
    <row r="50" spans="1:15" x14ac:dyDescent="0.35">
      <c r="B50" s="109"/>
      <c r="C50" s="110">
        <v>1</v>
      </c>
      <c r="D50" s="110">
        <v>2</v>
      </c>
      <c r="E50" s="110">
        <v>3</v>
      </c>
      <c r="F50" s="110">
        <v>4</v>
      </c>
      <c r="G50" s="110">
        <v>5</v>
      </c>
      <c r="H50" s="110">
        <v>6</v>
      </c>
      <c r="I50" s="110">
        <v>7</v>
      </c>
      <c r="J50" s="110">
        <v>8</v>
      </c>
      <c r="K50" s="110">
        <v>9</v>
      </c>
      <c r="L50" s="110">
        <v>10</v>
      </c>
      <c r="M50" s="110">
        <v>11</v>
      </c>
      <c r="N50" s="110">
        <v>12</v>
      </c>
    </row>
    <row r="51" spans="1:15" x14ac:dyDescent="0.35">
      <c r="B51" s="110" t="s">
        <v>59</v>
      </c>
      <c r="C51" s="114"/>
      <c r="D51" s="121"/>
      <c r="E51" s="111"/>
      <c r="F51" s="120"/>
      <c r="G51" s="117"/>
      <c r="H51" s="124"/>
      <c r="I51" s="115"/>
      <c r="J51" s="115"/>
      <c r="K51" s="115"/>
      <c r="L51" s="114"/>
      <c r="M51" s="120"/>
      <c r="N51" s="116"/>
      <c r="O51" s="118">
        <v>280</v>
      </c>
    </row>
    <row r="52" spans="1:15" x14ac:dyDescent="0.35">
      <c r="B52" s="110" t="s">
        <v>72</v>
      </c>
      <c r="C52" s="114"/>
      <c r="D52" s="112"/>
      <c r="E52" s="120"/>
      <c r="F52" s="121"/>
      <c r="G52" s="111"/>
      <c r="H52" s="112"/>
      <c r="I52" s="111"/>
      <c r="J52" s="114"/>
      <c r="K52" s="114"/>
      <c r="L52" s="120"/>
      <c r="M52" s="124"/>
      <c r="N52" s="115"/>
      <c r="O52" s="118">
        <v>280</v>
      </c>
    </row>
    <row r="53" spans="1:15" x14ac:dyDescent="0.35">
      <c r="B53" s="110" t="s">
        <v>85</v>
      </c>
      <c r="C53" s="113"/>
      <c r="D53" s="122"/>
      <c r="E53" s="121"/>
      <c r="F53" s="111"/>
      <c r="G53" s="116"/>
      <c r="H53" s="114"/>
      <c r="I53" s="112"/>
      <c r="J53" s="112"/>
      <c r="K53" s="114"/>
      <c r="L53" s="111"/>
      <c r="M53" s="120"/>
      <c r="N53" s="111"/>
      <c r="O53" s="118">
        <v>280</v>
      </c>
    </row>
    <row r="54" spans="1:15" x14ac:dyDescent="0.35">
      <c r="B54" s="110" t="s">
        <v>98</v>
      </c>
      <c r="C54" s="114"/>
      <c r="D54" s="120"/>
      <c r="E54" s="113"/>
      <c r="F54" s="112"/>
      <c r="G54" s="111"/>
      <c r="H54" s="121"/>
      <c r="I54" s="111"/>
      <c r="J54" s="117"/>
      <c r="K54" s="114"/>
      <c r="L54" s="114"/>
      <c r="M54" s="111"/>
      <c r="N54" s="111"/>
      <c r="O54" s="118">
        <v>280</v>
      </c>
    </row>
    <row r="55" spans="1:15" x14ac:dyDescent="0.35">
      <c r="B55" s="110" t="s">
        <v>111</v>
      </c>
      <c r="C55" s="111"/>
      <c r="D55" s="119"/>
      <c r="E55" s="111"/>
      <c r="F55" s="122"/>
      <c r="G55" s="116"/>
      <c r="H55" s="111"/>
      <c r="I55" s="116"/>
      <c r="J55" s="114"/>
      <c r="K55" s="112"/>
      <c r="L55" s="116"/>
      <c r="M55" s="112"/>
      <c r="N55" s="114"/>
      <c r="O55" s="118">
        <v>280</v>
      </c>
    </row>
    <row r="56" spans="1:15" x14ac:dyDescent="0.35">
      <c r="B56" s="110" t="s">
        <v>124</v>
      </c>
      <c r="C56" s="113"/>
      <c r="D56" s="111"/>
      <c r="E56" s="114"/>
      <c r="F56" s="122"/>
      <c r="G56" s="111"/>
      <c r="H56" s="116"/>
      <c r="I56" s="111"/>
      <c r="J56" s="116"/>
      <c r="K56" s="116"/>
      <c r="L56" s="116"/>
      <c r="M56" s="111"/>
      <c r="N56" s="114"/>
      <c r="O56" s="118">
        <v>280</v>
      </c>
    </row>
    <row r="57" spans="1:15" x14ac:dyDescent="0.35">
      <c r="B57" s="110" t="s">
        <v>137</v>
      </c>
      <c r="C57" s="111"/>
      <c r="D57" s="123"/>
      <c r="E57" s="114"/>
      <c r="F57" s="113"/>
      <c r="G57" s="113"/>
      <c r="H57" s="111"/>
      <c r="I57" s="112"/>
      <c r="J57" s="112"/>
      <c r="K57" s="112"/>
      <c r="L57" s="114"/>
      <c r="M57" s="114"/>
      <c r="N57" s="111"/>
      <c r="O57" s="118">
        <v>280</v>
      </c>
    </row>
    <row r="58" spans="1:15" x14ac:dyDescent="0.35">
      <c r="B58" s="110" t="s">
        <v>150</v>
      </c>
      <c r="C58" s="112"/>
      <c r="D58" s="115"/>
      <c r="E58" s="122"/>
      <c r="F58" s="121"/>
      <c r="G58" s="111"/>
      <c r="H58" s="116"/>
      <c r="I58" s="115"/>
      <c r="J58" s="113"/>
      <c r="K58" s="112"/>
      <c r="L58" s="111"/>
      <c r="M58" s="116"/>
      <c r="N58" s="117"/>
      <c r="O58" s="118">
        <v>280</v>
      </c>
    </row>
    <row r="60" spans="1:15" x14ac:dyDescent="0.35">
      <c r="A60" s="108">
        <v>900</v>
      </c>
    </row>
    <row r="61" spans="1:15" x14ac:dyDescent="0.35">
      <c r="A61" s="201" t="s">
        <v>405</v>
      </c>
      <c r="B61" s="105">
        <v>0</v>
      </c>
    </row>
    <row r="63" spans="1:15" x14ac:dyDescent="0.35">
      <c r="B63" s="109"/>
      <c r="C63" s="110">
        <v>1</v>
      </c>
      <c r="D63" s="110">
        <v>2</v>
      </c>
      <c r="E63" s="110">
        <v>3</v>
      </c>
      <c r="F63" s="110">
        <v>4</v>
      </c>
      <c r="G63" s="110">
        <v>5</v>
      </c>
      <c r="H63" s="110">
        <v>6</v>
      </c>
      <c r="I63" s="110">
        <v>7</v>
      </c>
      <c r="J63" s="110">
        <v>8</v>
      </c>
      <c r="K63" s="110">
        <v>9</v>
      </c>
      <c r="L63" s="110">
        <v>10</v>
      </c>
      <c r="M63" s="110">
        <v>11</v>
      </c>
      <c r="N63" s="110">
        <v>12</v>
      </c>
    </row>
    <row r="64" spans="1:15" x14ac:dyDescent="0.35">
      <c r="B64" s="110" t="s">
        <v>59</v>
      </c>
      <c r="C64" s="125"/>
      <c r="D64" s="125"/>
      <c r="E64" s="117"/>
      <c r="F64" s="117"/>
      <c r="G64" s="117"/>
      <c r="H64" s="117"/>
      <c r="I64" s="117"/>
      <c r="J64" s="117"/>
      <c r="K64" s="117"/>
      <c r="L64" s="125"/>
      <c r="M64" s="117"/>
      <c r="N64" s="123"/>
      <c r="O64" s="118">
        <v>900</v>
      </c>
    </row>
    <row r="65" spans="1:15" x14ac:dyDescent="0.35">
      <c r="B65" s="110" t="s">
        <v>72</v>
      </c>
      <c r="C65" s="125"/>
      <c r="D65" s="125"/>
      <c r="E65" s="125"/>
      <c r="F65" s="125"/>
      <c r="G65" s="117"/>
      <c r="H65" s="125"/>
      <c r="I65" s="125"/>
      <c r="J65" s="117"/>
      <c r="K65" s="125"/>
      <c r="L65" s="125"/>
      <c r="M65" s="117"/>
      <c r="N65" s="117"/>
      <c r="O65" s="118">
        <v>900</v>
      </c>
    </row>
    <row r="66" spans="1:15" x14ac:dyDescent="0.35">
      <c r="B66" s="110" t="s">
        <v>85</v>
      </c>
      <c r="C66" s="125"/>
      <c r="D66" s="117"/>
      <c r="E66" s="117"/>
      <c r="F66" s="125"/>
      <c r="G66" s="125"/>
      <c r="H66" s="117"/>
      <c r="I66" s="125"/>
      <c r="J66" s="125"/>
      <c r="K66" s="125"/>
      <c r="L66" s="125"/>
      <c r="M66" s="125"/>
      <c r="N66" s="125"/>
      <c r="O66" s="118">
        <v>900</v>
      </c>
    </row>
    <row r="67" spans="1:15" x14ac:dyDescent="0.35">
      <c r="B67" s="110" t="s">
        <v>98</v>
      </c>
      <c r="C67" s="125"/>
      <c r="D67" s="117"/>
      <c r="E67" s="125"/>
      <c r="F67" s="125"/>
      <c r="G67" s="125"/>
      <c r="H67" s="125"/>
      <c r="I67" s="125"/>
      <c r="J67" s="125"/>
      <c r="K67" s="117"/>
      <c r="L67" s="125"/>
      <c r="M67" s="125"/>
      <c r="N67" s="117"/>
      <c r="O67" s="118">
        <v>900</v>
      </c>
    </row>
    <row r="68" spans="1:15" x14ac:dyDescent="0.35">
      <c r="B68" s="110" t="s">
        <v>111</v>
      </c>
      <c r="C68" s="117"/>
      <c r="D68" s="117"/>
      <c r="E68" s="117"/>
      <c r="F68" s="125"/>
      <c r="G68" s="125"/>
      <c r="H68" s="125"/>
      <c r="I68" s="125"/>
      <c r="J68" s="125"/>
      <c r="K68" s="125"/>
      <c r="L68" s="125"/>
      <c r="M68" s="117"/>
      <c r="N68" s="117"/>
      <c r="O68" s="118">
        <v>900</v>
      </c>
    </row>
    <row r="69" spans="1:15" x14ac:dyDescent="0.35">
      <c r="B69" s="110" t="s">
        <v>124</v>
      </c>
      <c r="C69" s="125"/>
      <c r="D69" s="117"/>
      <c r="E69" s="117"/>
      <c r="F69" s="125"/>
      <c r="G69" s="117"/>
      <c r="H69" s="125"/>
      <c r="I69" s="125"/>
      <c r="J69" s="117"/>
      <c r="K69" s="125"/>
      <c r="L69" s="125"/>
      <c r="M69" s="125"/>
      <c r="N69" s="117"/>
      <c r="O69" s="118">
        <v>900</v>
      </c>
    </row>
    <row r="70" spans="1:15" x14ac:dyDescent="0.35">
      <c r="B70" s="110" t="s">
        <v>137</v>
      </c>
      <c r="C70" s="117"/>
      <c r="D70" s="117"/>
      <c r="E70" s="125"/>
      <c r="F70" s="117"/>
      <c r="G70" s="117"/>
      <c r="H70" s="117"/>
      <c r="I70" s="117"/>
      <c r="J70" s="117"/>
      <c r="K70" s="125"/>
      <c r="L70" s="125"/>
      <c r="M70" s="125"/>
      <c r="N70" s="117"/>
      <c r="O70" s="118">
        <v>900</v>
      </c>
    </row>
    <row r="71" spans="1:15" x14ac:dyDescent="0.35">
      <c r="B71" s="110" t="s">
        <v>150</v>
      </c>
      <c r="C71" s="125"/>
      <c r="D71" s="117"/>
      <c r="E71" s="125"/>
      <c r="F71" s="117"/>
      <c r="G71" s="117"/>
      <c r="H71" s="121"/>
      <c r="I71" s="117"/>
      <c r="J71" s="125"/>
      <c r="K71" s="117"/>
      <c r="L71" s="125"/>
      <c r="M71" s="117"/>
      <c r="N71" s="117"/>
      <c r="O71" s="118">
        <v>900</v>
      </c>
    </row>
    <row r="73" spans="1:15" x14ac:dyDescent="0.35">
      <c r="A73" s="108">
        <v>977</v>
      </c>
    </row>
    <row r="74" spans="1:15" x14ac:dyDescent="0.35">
      <c r="A74" s="201" t="s">
        <v>405</v>
      </c>
      <c r="B74" s="105">
        <v>0</v>
      </c>
    </row>
    <row r="76" spans="1:15" x14ac:dyDescent="0.35">
      <c r="B76" s="109"/>
      <c r="C76" s="110">
        <v>1</v>
      </c>
      <c r="D76" s="110">
        <v>2</v>
      </c>
      <c r="E76" s="110">
        <v>3</v>
      </c>
      <c r="F76" s="110">
        <v>4</v>
      </c>
      <c r="G76" s="110">
        <v>5</v>
      </c>
      <c r="H76" s="110">
        <v>6</v>
      </c>
      <c r="I76" s="110">
        <v>7</v>
      </c>
      <c r="J76" s="110">
        <v>8</v>
      </c>
      <c r="K76" s="110">
        <v>9</v>
      </c>
      <c r="L76" s="110">
        <v>10</v>
      </c>
      <c r="M76" s="110">
        <v>11</v>
      </c>
      <c r="N76" s="110">
        <v>12</v>
      </c>
    </row>
    <row r="77" spans="1:15" x14ac:dyDescent="0.35">
      <c r="B77" s="110" t="s">
        <v>59</v>
      </c>
      <c r="C77" s="125"/>
      <c r="D77" s="125"/>
      <c r="E77" s="125"/>
      <c r="F77" s="117"/>
      <c r="G77" s="117"/>
      <c r="H77" s="117"/>
      <c r="I77" s="117"/>
      <c r="J77" s="117"/>
      <c r="K77" s="117"/>
      <c r="L77" s="125"/>
      <c r="M77" s="117"/>
      <c r="N77" s="123"/>
      <c r="O77" s="118">
        <v>977</v>
      </c>
    </row>
    <row r="78" spans="1:15" x14ac:dyDescent="0.35">
      <c r="B78" s="110" t="s">
        <v>72</v>
      </c>
      <c r="C78" s="125"/>
      <c r="D78" s="125"/>
      <c r="E78" s="125"/>
      <c r="F78" s="125"/>
      <c r="G78" s="117"/>
      <c r="H78" s="117"/>
      <c r="I78" s="117"/>
      <c r="J78" s="125"/>
      <c r="K78" s="117"/>
      <c r="L78" s="125"/>
      <c r="M78" s="117"/>
      <c r="N78" s="117"/>
      <c r="O78" s="118">
        <v>977</v>
      </c>
    </row>
    <row r="79" spans="1:15" x14ac:dyDescent="0.35">
      <c r="B79" s="110" t="s">
        <v>85</v>
      </c>
      <c r="C79" s="125"/>
      <c r="D79" s="125"/>
      <c r="E79" s="125"/>
      <c r="F79" s="117"/>
      <c r="G79" s="125"/>
      <c r="H79" s="117"/>
      <c r="I79" s="125"/>
      <c r="J79" s="117"/>
      <c r="K79" s="125"/>
      <c r="L79" s="125"/>
      <c r="M79" s="125"/>
      <c r="N79" s="125"/>
      <c r="O79" s="118">
        <v>977</v>
      </c>
    </row>
    <row r="80" spans="1:15" x14ac:dyDescent="0.35">
      <c r="B80" s="110" t="s">
        <v>98</v>
      </c>
      <c r="C80" s="125"/>
      <c r="D80" s="125"/>
      <c r="E80" s="117"/>
      <c r="F80" s="125"/>
      <c r="G80" s="125"/>
      <c r="H80" s="117"/>
      <c r="I80" s="125"/>
      <c r="J80" s="117"/>
      <c r="K80" s="117"/>
      <c r="L80" s="125"/>
      <c r="M80" s="125"/>
      <c r="N80" s="125"/>
      <c r="O80" s="118">
        <v>977</v>
      </c>
    </row>
    <row r="81" spans="2:15" x14ac:dyDescent="0.35">
      <c r="B81" s="110" t="s">
        <v>111</v>
      </c>
      <c r="C81" s="117"/>
      <c r="D81" s="117"/>
      <c r="E81" s="117"/>
      <c r="F81" s="117"/>
      <c r="G81" s="125"/>
      <c r="H81" s="117"/>
      <c r="I81" s="125"/>
      <c r="J81" s="117"/>
      <c r="K81" s="125"/>
      <c r="L81" s="117"/>
      <c r="M81" s="125"/>
      <c r="N81" s="117"/>
      <c r="O81" s="118">
        <v>977</v>
      </c>
    </row>
    <row r="82" spans="2:15" x14ac:dyDescent="0.35">
      <c r="B82" s="110" t="s">
        <v>124</v>
      </c>
      <c r="C82" s="125"/>
      <c r="D82" s="117"/>
      <c r="E82" s="117"/>
      <c r="F82" s="125"/>
      <c r="H82" s="125"/>
      <c r="I82" s="125"/>
      <c r="J82" s="125"/>
      <c r="K82" s="125"/>
      <c r="L82" s="125"/>
      <c r="M82" s="117"/>
      <c r="N82" s="117"/>
      <c r="O82" s="118">
        <v>977</v>
      </c>
    </row>
    <row r="83" spans="2:15" x14ac:dyDescent="0.35">
      <c r="B83" s="110" t="s">
        <v>137</v>
      </c>
      <c r="C83" s="117"/>
      <c r="D83" s="125"/>
      <c r="E83" s="125"/>
      <c r="F83" s="125"/>
      <c r="G83" s="125"/>
      <c r="H83" s="117"/>
      <c r="I83" s="117"/>
      <c r="J83" s="117"/>
      <c r="K83" s="117"/>
      <c r="L83" s="117"/>
      <c r="M83" s="117"/>
      <c r="N83" s="117"/>
      <c r="O83" s="118">
        <v>977</v>
      </c>
    </row>
    <row r="84" spans="2:15" x14ac:dyDescent="0.35">
      <c r="B84" s="110" t="s">
        <v>150</v>
      </c>
      <c r="C84" s="125"/>
      <c r="D84" s="125"/>
      <c r="E84" s="125"/>
      <c r="F84" s="117"/>
      <c r="G84" s="117"/>
      <c r="H84" s="125"/>
      <c r="I84" s="125"/>
      <c r="J84" s="125"/>
      <c r="K84" s="117"/>
      <c r="L84" s="125"/>
      <c r="M84" s="117"/>
      <c r="N84" s="117"/>
      <c r="O84" s="118">
        <v>977</v>
      </c>
    </row>
  </sheetData>
  <mergeCells count="6">
    <mergeCell ref="B19:G19"/>
    <mergeCell ref="B4:I4"/>
    <mergeCell ref="B5:H5"/>
    <mergeCell ref="B14:D14"/>
    <mergeCell ref="B16:C16"/>
    <mergeCell ref="B18:E1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1"/>
  <dimension ref="A2:O85"/>
  <sheetViews>
    <sheetView zoomScale="55" zoomScaleNormal="55" workbookViewId="0">
      <selection activeCell="P12" sqref="P12"/>
    </sheetView>
  </sheetViews>
  <sheetFormatPr baseColWidth="10" defaultColWidth="8.7265625" defaultRowHeight="14.5" x14ac:dyDescent="0.35"/>
  <cols>
    <col min="1" max="1" width="20.7265625" style="204" customWidth="1"/>
    <col min="2" max="2" width="12.7265625" style="204" customWidth="1"/>
    <col min="3" max="16384" width="8.7265625" style="204"/>
  </cols>
  <sheetData>
    <row r="2" spans="1:3" x14ac:dyDescent="0.35">
      <c r="A2" s="204" t="s">
        <v>382</v>
      </c>
      <c r="B2" s="204" t="s">
        <v>703</v>
      </c>
      <c r="C2" s="238" t="s">
        <v>704</v>
      </c>
    </row>
    <row r="4" spans="1:3" x14ac:dyDescent="0.35">
      <c r="A4" s="204" t="s">
        <v>384</v>
      </c>
    </row>
    <row r="5" spans="1:3" x14ac:dyDescent="0.35">
      <c r="A5" s="204" t="s">
        <v>386</v>
      </c>
      <c r="B5" s="204" t="s">
        <v>705</v>
      </c>
    </row>
    <row r="6" spans="1:3" x14ac:dyDescent="0.35">
      <c r="A6" s="204" t="s">
        <v>388</v>
      </c>
      <c r="B6" s="204" t="s">
        <v>706</v>
      </c>
    </row>
    <row r="7" spans="1:3" x14ac:dyDescent="0.35">
      <c r="A7" s="204" t="s">
        <v>3</v>
      </c>
      <c r="B7" s="41">
        <v>43956</v>
      </c>
    </row>
    <row r="8" spans="1:3" x14ac:dyDescent="0.35">
      <c r="A8" s="204" t="s">
        <v>390</v>
      </c>
      <c r="B8" s="239">
        <v>0.53075231481481489</v>
      </c>
    </row>
    <row r="9" spans="1:3" x14ac:dyDescent="0.35">
      <c r="A9" s="204" t="s">
        <v>391</v>
      </c>
      <c r="B9" s="204" t="s">
        <v>392</v>
      </c>
    </row>
    <row r="10" spans="1:3" x14ac:dyDescent="0.35">
      <c r="A10" s="204" t="s">
        <v>393</v>
      </c>
      <c r="B10" s="204">
        <v>1910115</v>
      </c>
    </row>
    <row r="11" spans="1:3" x14ac:dyDescent="0.35">
      <c r="A11" s="204" t="s">
        <v>394</v>
      </c>
      <c r="B11" s="204" t="s">
        <v>395</v>
      </c>
    </row>
    <row r="13" spans="1:3" x14ac:dyDescent="0.35">
      <c r="A13" s="240" t="s">
        <v>396</v>
      </c>
      <c r="B13" s="241"/>
    </row>
    <row r="14" spans="1:3" x14ac:dyDescent="0.35">
      <c r="A14" s="204" t="s">
        <v>397</v>
      </c>
      <c r="B14" s="204" t="s">
        <v>707</v>
      </c>
    </row>
    <row r="15" spans="1:3" x14ac:dyDescent="0.35">
      <c r="A15" s="204" t="s">
        <v>399</v>
      </c>
    </row>
    <row r="16" spans="1:3" x14ac:dyDescent="0.35">
      <c r="A16" s="204" t="s">
        <v>400</v>
      </c>
      <c r="B16" s="204" t="s">
        <v>708</v>
      </c>
    </row>
    <row r="17" spans="1:15" x14ac:dyDescent="0.35">
      <c r="B17" s="204" t="s">
        <v>401</v>
      </c>
    </row>
    <row r="18" spans="1:15" x14ac:dyDescent="0.35">
      <c r="B18" s="204" t="s">
        <v>402</v>
      </c>
    </row>
    <row r="19" spans="1:15" x14ac:dyDescent="0.35">
      <c r="B19" s="204" t="s">
        <v>709</v>
      </c>
    </row>
    <row r="20" spans="1:15" x14ac:dyDescent="0.35">
      <c r="B20" s="204" t="s">
        <v>710</v>
      </c>
    </row>
    <row r="22" spans="1:15" ht="26" x14ac:dyDescent="0.35">
      <c r="A22" s="240" t="s">
        <v>711</v>
      </c>
      <c r="B22" s="241"/>
    </row>
    <row r="23" spans="1:15" x14ac:dyDescent="0.35">
      <c r="A23" s="204" t="s">
        <v>405</v>
      </c>
      <c r="B23" s="204">
        <v>0</v>
      </c>
    </row>
    <row r="25" spans="1:15" x14ac:dyDescent="0.35">
      <c r="B25" s="242"/>
      <c r="C25" s="243">
        <v>1</v>
      </c>
      <c r="D25" s="243">
        <v>2</v>
      </c>
      <c r="E25" s="243">
        <v>3</v>
      </c>
      <c r="F25" s="243">
        <v>4</v>
      </c>
      <c r="G25" s="243">
        <v>5</v>
      </c>
      <c r="H25" s="243">
        <v>6</v>
      </c>
      <c r="I25" s="243">
        <v>7</v>
      </c>
      <c r="J25" s="243">
        <v>8</v>
      </c>
      <c r="K25" s="243">
        <v>9</v>
      </c>
      <c r="L25" s="243">
        <v>10</v>
      </c>
      <c r="M25" s="243">
        <v>11</v>
      </c>
      <c r="N25" s="243">
        <v>12</v>
      </c>
    </row>
    <row r="26" spans="1:15" ht="18" x14ac:dyDescent="0.35">
      <c r="B26" s="243" t="s">
        <v>59</v>
      </c>
      <c r="C26" s="244">
        <v>0.21199999999999999</v>
      </c>
      <c r="D26" s="245">
        <v>0.192</v>
      </c>
      <c r="E26" s="246">
        <v>0.20100000000000001</v>
      </c>
      <c r="F26" s="244">
        <v>0.216</v>
      </c>
      <c r="G26" s="247">
        <v>0.20699999999999999</v>
      </c>
      <c r="H26" s="248">
        <v>0.17299999999999999</v>
      </c>
      <c r="I26" s="249">
        <v>0.18</v>
      </c>
      <c r="J26" s="244">
        <v>0.21199999999999999</v>
      </c>
      <c r="K26" s="247">
        <v>0.20799999999999999</v>
      </c>
      <c r="L26" s="245">
        <v>0.187</v>
      </c>
      <c r="M26" s="250">
        <v>0.22</v>
      </c>
      <c r="N26" s="251">
        <v>0.19700000000000001</v>
      </c>
      <c r="O26" s="252" t="s">
        <v>711</v>
      </c>
    </row>
    <row r="27" spans="1:15" ht="18" x14ac:dyDescent="0.35">
      <c r="B27" s="243" t="s">
        <v>72</v>
      </c>
      <c r="C27" s="244">
        <v>0.217</v>
      </c>
      <c r="D27" s="250">
        <v>0.219</v>
      </c>
      <c r="E27" s="244">
        <v>0.21299999999999999</v>
      </c>
      <c r="F27" s="250">
        <v>0.222</v>
      </c>
      <c r="G27" s="250">
        <v>0.221</v>
      </c>
      <c r="H27" s="247">
        <v>0.21</v>
      </c>
      <c r="I27" s="247">
        <v>0.20699999999999999</v>
      </c>
      <c r="J27" s="250">
        <v>0.22</v>
      </c>
      <c r="K27" s="253">
        <v>0.251</v>
      </c>
      <c r="L27" s="244">
        <v>0.214</v>
      </c>
      <c r="M27" s="250">
        <v>0.223</v>
      </c>
      <c r="N27" s="244">
        <v>0.21199999999999999</v>
      </c>
      <c r="O27" s="252" t="s">
        <v>711</v>
      </c>
    </row>
    <row r="28" spans="1:15" ht="18" x14ac:dyDescent="0.35">
      <c r="B28" s="243" t="s">
        <v>85</v>
      </c>
      <c r="C28" s="254">
        <v>0.22800000000000001</v>
      </c>
      <c r="D28" s="248">
        <v>0.17599999999999999</v>
      </c>
      <c r="E28" s="255">
        <v>0.24099999999999999</v>
      </c>
      <c r="F28" s="254">
        <v>0.22500000000000001</v>
      </c>
      <c r="G28" s="249">
        <v>0.184</v>
      </c>
      <c r="H28" s="247">
        <v>0.20599999999999999</v>
      </c>
      <c r="I28" s="248">
        <v>0.17799999999999999</v>
      </c>
      <c r="J28" s="246">
        <v>0.20200000000000001</v>
      </c>
      <c r="K28" s="256">
        <v>0.23400000000000001</v>
      </c>
      <c r="L28" s="247">
        <v>0.21099999999999999</v>
      </c>
      <c r="M28" s="247">
        <v>0.20899999999999999</v>
      </c>
      <c r="N28" s="246">
        <v>0.20399999999999999</v>
      </c>
      <c r="O28" s="252" t="s">
        <v>711</v>
      </c>
    </row>
    <row r="29" spans="1:15" ht="18" x14ac:dyDescent="0.35">
      <c r="B29" s="243" t="s">
        <v>98</v>
      </c>
      <c r="C29" s="254">
        <v>0.22700000000000001</v>
      </c>
      <c r="D29" s="247">
        <v>0.21099999999999999</v>
      </c>
      <c r="E29" s="244">
        <v>0.21299999999999999</v>
      </c>
      <c r="F29" s="246">
        <v>0.20200000000000001</v>
      </c>
      <c r="G29" s="248">
        <v>0.17399999999999999</v>
      </c>
      <c r="H29" s="250">
        <v>0.221</v>
      </c>
      <c r="I29" s="245">
        <v>0.187</v>
      </c>
      <c r="J29" s="247">
        <v>0.20699999999999999</v>
      </c>
      <c r="K29" s="247">
        <v>0.20799999999999999</v>
      </c>
      <c r="L29" s="254">
        <v>0.22500000000000001</v>
      </c>
      <c r="M29" s="250">
        <v>0.222</v>
      </c>
      <c r="N29" s="246">
        <v>0.20300000000000001</v>
      </c>
      <c r="O29" s="252" t="s">
        <v>711</v>
      </c>
    </row>
    <row r="30" spans="1:15" ht="18" x14ac:dyDescent="0.35">
      <c r="B30" s="243" t="s">
        <v>111</v>
      </c>
      <c r="C30" s="251">
        <v>0.19400000000000001</v>
      </c>
      <c r="D30" s="247">
        <v>0.21</v>
      </c>
      <c r="E30" s="250">
        <v>0.218</v>
      </c>
      <c r="F30" s="250">
        <v>0.224</v>
      </c>
      <c r="G30" s="250">
        <v>0.218</v>
      </c>
      <c r="H30" s="246">
        <v>0.20100000000000001</v>
      </c>
      <c r="I30" s="254">
        <v>0.22600000000000001</v>
      </c>
      <c r="J30" s="247">
        <v>0.20799999999999999</v>
      </c>
      <c r="K30" s="247">
        <v>0.20599999999999999</v>
      </c>
      <c r="L30" s="254">
        <v>0.224</v>
      </c>
      <c r="M30" s="246">
        <v>0.2</v>
      </c>
      <c r="N30" s="256">
        <v>0.23400000000000001</v>
      </c>
      <c r="O30" s="252" t="s">
        <v>711</v>
      </c>
    </row>
    <row r="31" spans="1:15" ht="18" x14ac:dyDescent="0.35">
      <c r="B31" s="243" t="s">
        <v>124</v>
      </c>
      <c r="C31" s="247">
        <v>0.20799999999999999</v>
      </c>
      <c r="D31" s="254">
        <v>0.23</v>
      </c>
      <c r="E31" s="254">
        <v>0.22800000000000001</v>
      </c>
      <c r="F31" s="247">
        <v>0.20799999999999999</v>
      </c>
      <c r="G31" s="256">
        <v>0.23499999999999999</v>
      </c>
      <c r="H31" s="247">
        <v>0.20899999999999999</v>
      </c>
      <c r="I31" s="250">
        <v>0.219</v>
      </c>
      <c r="J31" s="247">
        <v>0.20599999999999999</v>
      </c>
      <c r="K31" s="250">
        <v>0.222</v>
      </c>
      <c r="L31" s="256">
        <v>0.23499999999999999</v>
      </c>
      <c r="M31" s="254">
        <v>0.22500000000000001</v>
      </c>
      <c r="N31" s="247">
        <v>0.20799999999999999</v>
      </c>
      <c r="O31" s="252" t="s">
        <v>711</v>
      </c>
    </row>
    <row r="32" spans="1:15" ht="18" x14ac:dyDescent="0.35">
      <c r="B32" s="243" t="s">
        <v>137</v>
      </c>
      <c r="C32" s="256">
        <v>0.23599999999999999</v>
      </c>
      <c r="D32" s="247">
        <v>0.20799999999999999</v>
      </c>
      <c r="E32" s="251">
        <v>0.19500000000000001</v>
      </c>
      <c r="F32" s="253">
        <v>0.252</v>
      </c>
      <c r="G32" s="250">
        <v>0.224</v>
      </c>
      <c r="H32" s="250">
        <v>0.219</v>
      </c>
      <c r="I32" s="254">
        <v>0.22700000000000001</v>
      </c>
      <c r="J32" s="250">
        <v>0.221</v>
      </c>
      <c r="K32" s="246">
        <v>0.2</v>
      </c>
      <c r="L32" s="256">
        <v>0.23599999999999999</v>
      </c>
      <c r="M32" s="246">
        <v>0.2</v>
      </c>
      <c r="N32" s="251">
        <v>0.19700000000000001</v>
      </c>
      <c r="O32" s="252" t="s">
        <v>711</v>
      </c>
    </row>
    <row r="33" spans="1:15" ht="18" x14ac:dyDescent="0.35">
      <c r="B33" s="243" t="s">
        <v>150</v>
      </c>
      <c r="C33" s="246">
        <v>0.2</v>
      </c>
      <c r="D33" s="257">
        <v>0.245</v>
      </c>
      <c r="E33" s="248">
        <v>0.17899999999999999</v>
      </c>
      <c r="F33" s="255">
        <v>0.23699999999999999</v>
      </c>
      <c r="G33" s="254">
        <v>0.22900000000000001</v>
      </c>
      <c r="H33" s="244">
        <v>0.216</v>
      </c>
      <c r="I33" s="251">
        <v>0.19600000000000001</v>
      </c>
      <c r="J33" s="258">
        <v>0.26200000000000001</v>
      </c>
      <c r="K33" s="244">
        <v>0.214</v>
      </c>
      <c r="L33" s="246">
        <v>0.20300000000000001</v>
      </c>
      <c r="M33" s="258">
        <v>0.25700000000000001</v>
      </c>
      <c r="N33" s="258">
        <v>0.25700000000000001</v>
      </c>
      <c r="O33" s="252" t="s">
        <v>711</v>
      </c>
    </row>
    <row r="35" spans="1:15" ht="26" x14ac:dyDescent="0.35">
      <c r="A35" s="240" t="s">
        <v>712</v>
      </c>
      <c r="B35" s="241"/>
    </row>
    <row r="36" spans="1:15" x14ac:dyDescent="0.35">
      <c r="A36" s="204" t="s">
        <v>405</v>
      </c>
      <c r="B36" s="204">
        <v>0</v>
      </c>
    </row>
    <row r="38" spans="1:15" x14ac:dyDescent="0.35">
      <c r="B38" s="242"/>
      <c r="C38" s="243">
        <v>1</v>
      </c>
      <c r="D38" s="243">
        <v>2</v>
      </c>
      <c r="E38" s="243">
        <v>3</v>
      </c>
      <c r="F38" s="243">
        <v>4</v>
      </c>
      <c r="G38" s="243">
        <v>5</v>
      </c>
      <c r="H38" s="243">
        <v>6</v>
      </c>
      <c r="I38" s="243">
        <v>7</v>
      </c>
      <c r="J38" s="243">
        <v>8</v>
      </c>
      <c r="K38" s="243">
        <v>9</v>
      </c>
      <c r="L38" s="243">
        <v>10</v>
      </c>
      <c r="M38" s="243">
        <v>11</v>
      </c>
      <c r="N38" s="243">
        <v>12</v>
      </c>
    </row>
    <row r="39" spans="1:15" ht="18" x14ac:dyDescent="0.35">
      <c r="B39" s="243" t="s">
        <v>59</v>
      </c>
      <c r="C39" s="247">
        <v>0.28499999999999998</v>
      </c>
      <c r="D39" s="245">
        <v>0.24299999999999999</v>
      </c>
      <c r="E39" s="247">
        <v>0.28299999999999997</v>
      </c>
      <c r="F39" s="244">
        <v>0.29899999999999999</v>
      </c>
      <c r="G39" s="250">
        <v>0.312</v>
      </c>
      <c r="H39" s="248">
        <v>0.21099999999999999</v>
      </c>
      <c r="I39" s="248">
        <v>0.21299999999999999</v>
      </c>
      <c r="J39" s="254">
        <v>0.32600000000000001</v>
      </c>
      <c r="K39" s="250">
        <v>0.31900000000000001</v>
      </c>
      <c r="L39" s="246">
        <v>0.27400000000000002</v>
      </c>
      <c r="M39" s="254">
        <v>0.32700000000000001</v>
      </c>
      <c r="N39" s="246">
        <v>0.27300000000000002</v>
      </c>
      <c r="O39" s="252" t="s">
        <v>712</v>
      </c>
    </row>
    <row r="40" spans="1:15" ht="18" x14ac:dyDescent="0.35">
      <c r="B40" s="243" t="s">
        <v>72</v>
      </c>
      <c r="C40" s="244">
        <v>0.29899999999999999</v>
      </c>
      <c r="D40" s="247">
        <v>0.28599999999999998</v>
      </c>
      <c r="E40" s="247">
        <v>0.28699999999999998</v>
      </c>
      <c r="F40" s="250">
        <v>0.317</v>
      </c>
      <c r="G40" s="250">
        <v>0.308</v>
      </c>
      <c r="H40" s="244">
        <v>0.30599999999999999</v>
      </c>
      <c r="I40" s="250">
        <v>0.31</v>
      </c>
      <c r="J40" s="254">
        <v>0.32800000000000001</v>
      </c>
      <c r="K40" s="253">
        <v>0.378</v>
      </c>
      <c r="L40" s="247">
        <v>0.28000000000000003</v>
      </c>
      <c r="M40" s="257">
        <v>0.36699999999999999</v>
      </c>
      <c r="N40" s="244">
        <v>0.30399999999999999</v>
      </c>
      <c r="O40" s="252" t="s">
        <v>712</v>
      </c>
    </row>
    <row r="41" spans="1:15" ht="18" x14ac:dyDescent="0.35">
      <c r="B41" s="243" t="s">
        <v>85</v>
      </c>
      <c r="C41" s="254">
        <v>0.32500000000000001</v>
      </c>
      <c r="D41" s="248">
        <v>0.22</v>
      </c>
      <c r="E41" s="253">
        <v>0.379</v>
      </c>
      <c r="F41" s="256">
        <v>0.33800000000000002</v>
      </c>
      <c r="G41" s="245">
        <v>0.23899999999999999</v>
      </c>
      <c r="H41" s="247">
        <v>0.28699999999999998</v>
      </c>
      <c r="I41" s="249">
        <v>0.23799999999999999</v>
      </c>
      <c r="J41" s="244">
        <v>0.30599999999999999</v>
      </c>
      <c r="K41" s="244">
        <v>0.3</v>
      </c>
      <c r="L41" s="247">
        <v>0.28699999999999998</v>
      </c>
      <c r="M41" s="256">
        <v>0.34300000000000003</v>
      </c>
      <c r="N41" s="250">
        <v>0.316</v>
      </c>
      <c r="O41" s="252" t="s">
        <v>712</v>
      </c>
    </row>
    <row r="42" spans="1:15" ht="18" x14ac:dyDescent="0.35">
      <c r="B42" s="243" t="s">
        <v>98</v>
      </c>
      <c r="C42" s="250">
        <v>0.316</v>
      </c>
      <c r="D42" s="244">
        <v>0.29499999999999998</v>
      </c>
      <c r="E42" s="254">
        <v>0.33100000000000002</v>
      </c>
      <c r="F42" s="247">
        <v>0.28599999999999998</v>
      </c>
      <c r="G42" s="248">
        <v>0.215</v>
      </c>
      <c r="H42" s="256">
        <v>0.34300000000000003</v>
      </c>
      <c r="I42" s="246">
        <v>0.26800000000000002</v>
      </c>
      <c r="J42" s="250">
        <v>0.314</v>
      </c>
      <c r="K42" s="244">
        <v>0.30599999999999999</v>
      </c>
      <c r="L42" s="255">
        <v>0.35499999999999998</v>
      </c>
      <c r="M42" s="244">
        <v>0.29599999999999999</v>
      </c>
      <c r="N42" s="250">
        <v>0.308</v>
      </c>
      <c r="O42" s="252" t="s">
        <v>712</v>
      </c>
    </row>
    <row r="43" spans="1:15" ht="18" x14ac:dyDescent="0.35">
      <c r="B43" s="243" t="s">
        <v>111</v>
      </c>
      <c r="C43" s="246">
        <v>0.27500000000000002</v>
      </c>
      <c r="D43" s="246">
        <v>0.27600000000000002</v>
      </c>
      <c r="E43" s="250">
        <v>0.317</v>
      </c>
      <c r="F43" s="244">
        <v>0.30599999999999999</v>
      </c>
      <c r="G43" s="244">
        <v>0.3</v>
      </c>
      <c r="H43" s="246">
        <v>0.26800000000000002</v>
      </c>
      <c r="I43" s="254">
        <v>0.32700000000000001</v>
      </c>
      <c r="J43" s="247">
        <v>0.29099999999999998</v>
      </c>
      <c r="K43" s="247">
        <v>0.28599999999999998</v>
      </c>
      <c r="L43" s="256">
        <v>0.33500000000000002</v>
      </c>
      <c r="M43" s="247">
        <v>0.28000000000000003</v>
      </c>
      <c r="N43" s="254">
        <v>0.32800000000000001</v>
      </c>
      <c r="O43" s="252" t="s">
        <v>712</v>
      </c>
    </row>
    <row r="44" spans="1:15" ht="18" x14ac:dyDescent="0.35">
      <c r="B44" s="243" t="s">
        <v>124</v>
      </c>
      <c r="C44" s="254">
        <v>0.32100000000000001</v>
      </c>
      <c r="D44" s="244">
        <v>0.30399999999999999</v>
      </c>
      <c r="E44" s="256">
        <v>0.34699999999999998</v>
      </c>
      <c r="F44" s="246">
        <v>0.26700000000000002</v>
      </c>
      <c r="G44" s="258">
        <v>0.40200000000000002</v>
      </c>
      <c r="H44" s="251">
        <v>0.25800000000000001</v>
      </c>
      <c r="I44" s="255">
        <v>0.35599999999999998</v>
      </c>
      <c r="J44" s="244">
        <v>0.30599999999999999</v>
      </c>
      <c r="K44" s="256">
        <v>0.33900000000000002</v>
      </c>
      <c r="L44" s="257">
        <v>0.36399999999999999</v>
      </c>
      <c r="M44" s="250">
        <v>0.318</v>
      </c>
      <c r="N44" s="247">
        <v>0.29199999999999998</v>
      </c>
      <c r="O44" s="252" t="s">
        <v>712</v>
      </c>
    </row>
    <row r="45" spans="1:15" ht="18" x14ac:dyDescent="0.35">
      <c r="B45" s="243" t="s">
        <v>137</v>
      </c>
      <c r="C45" s="254">
        <v>0.32500000000000001</v>
      </c>
      <c r="D45" s="247">
        <v>0.28399999999999997</v>
      </c>
      <c r="E45" s="246">
        <v>0.27700000000000002</v>
      </c>
      <c r="F45" s="257">
        <v>0.36899999999999999</v>
      </c>
      <c r="G45" s="246">
        <v>0.27900000000000003</v>
      </c>
      <c r="H45" s="256">
        <v>0.33400000000000002</v>
      </c>
      <c r="I45" s="253">
        <v>0.376</v>
      </c>
      <c r="J45" s="256">
        <v>0.34399999999999997</v>
      </c>
      <c r="K45" s="246">
        <v>0.26900000000000002</v>
      </c>
      <c r="L45" s="255">
        <v>0.35099999999999998</v>
      </c>
      <c r="M45" s="246">
        <v>0.27200000000000002</v>
      </c>
      <c r="N45" s="246">
        <v>0.27100000000000002</v>
      </c>
      <c r="O45" s="252" t="s">
        <v>712</v>
      </c>
    </row>
    <row r="46" spans="1:15" ht="18" x14ac:dyDescent="0.35">
      <c r="B46" s="243" t="s">
        <v>150</v>
      </c>
      <c r="C46" s="251">
        <v>0.26300000000000001</v>
      </c>
      <c r="D46" s="256">
        <v>0.34100000000000003</v>
      </c>
      <c r="E46" s="251">
        <v>0.26500000000000001</v>
      </c>
      <c r="F46" s="256">
        <v>0.34</v>
      </c>
      <c r="G46" s="257">
        <v>0.37</v>
      </c>
      <c r="H46" s="247">
        <v>0.28699999999999998</v>
      </c>
      <c r="I46" s="244">
        <v>0.30399999999999999</v>
      </c>
      <c r="J46" s="256">
        <v>0.34300000000000003</v>
      </c>
      <c r="K46" s="250">
        <v>0.314</v>
      </c>
      <c r="L46" s="246">
        <v>0.27200000000000002</v>
      </c>
      <c r="M46" s="250">
        <v>0.315</v>
      </c>
      <c r="N46" s="256">
        <v>0.34100000000000003</v>
      </c>
      <c r="O46" s="252" t="s">
        <v>712</v>
      </c>
    </row>
    <row r="48" spans="1:15" ht="26" x14ac:dyDescent="0.35">
      <c r="A48" s="240" t="s">
        <v>713</v>
      </c>
      <c r="B48" s="241"/>
    </row>
    <row r="49" spans="1:15" x14ac:dyDescent="0.35">
      <c r="A49" s="204" t="s">
        <v>405</v>
      </c>
      <c r="B49" s="204">
        <v>0</v>
      </c>
    </row>
    <row r="51" spans="1:15" x14ac:dyDescent="0.35">
      <c r="B51" s="242"/>
      <c r="C51" s="243">
        <v>1</v>
      </c>
      <c r="D51" s="243">
        <v>2</v>
      </c>
      <c r="E51" s="243">
        <v>3</v>
      </c>
      <c r="F51" s="243">
        <v>4</v>
      </c>
      <c r="G51" s="243">
        <v>5</v>
      </c>
      <c r="H51" s="243">
        <v>6</v>
      </c>
      <c r="I51" s="243">
        <v>7</v>
      </c>
      <c r="J51" s="243">
        <v>8</v>
      </c>
      <c r="K51" s="243">
        <v>9</v>
      </c>
      <c r="L51" s="243">
        <v>10</v>
      </c>
      <c r="M51" s="243">
        <v>11</v>
      </c>
      <c r="N51" s="243">
        <v>12</v>
      </c>
    </row>
    <row r="52" spans="1:15" ht="18" x14ac:dyDescent="0.35">
      <c r="B52" s="243" t="s">
        <v>59</v>
      </c>
      <c r="C52" s="244">
        <v>0.18</v>
      </c>
      <c r="D52" s="245">
        <v>0.151</v>
      </c>
      <c r="E52" s="247">
        <v>0.17899999999999999</v>
      </c>
      <c r="F52" s="250">
        <v>0.189</v>
      </c>
      <c r="G52" s="250">
        <v>0.19500000000000001</v>
      </c>
      <c r="H52" s="249">
        <v>0.13800000000000001</v>
      </c>
      <c r="I52" s="245">
        <v>0.15</v>
      </c>
      <c r="J52" s="250">
        <v>0.191</v>
      </c>
      <c r="K52" s="244">
        <v>0.188</v>
      </c>
      <c r="L52" s="247">
        <v>0.17299999999999999</v>
      </c>
      <c r="M52" s="254">
        <v>0.2</v>
      </c>
      <c r="N52" s="247">
        <v>0.17199999999999999</v>
      </c>
      <c r="O52" s="252" t="s">
        <v>713</v>
      </c>
    </row>
    <row r="53" spans="1:15" ht="18" x14ac:dyDescent="0.35">
      <c r="B53" s="243" t="s">
        <v>72</v>
      </c>
      <c r="C53" s="254">
        <v>0.20200000000000001</v>
      </c>
      <c r="D53" s="244">
        <v>0.18099999999999999</v>
      </c>
      <c r="E53" s="247">
        <v>0.17399999999999999</v>
      </c>
      <c r="F53" s="254">
        <v>0.20100000000000001</v>
      </c>
      <c r="G53" s="250">
        <v>0.193</v>
      </c>
      <c r="H53" s="244">
        <v>0.18099999999999999</v>
      </c>
      <c r="I53" s="244">
        <v>0.188</v>
      </c>
      <c r="J53" s="250">
        <v>0.19400000000000001</v>
      </c>
      <c r="K53" s="258">
        <v>0.248</v>
      </c>
      <c r="L53" s="246">
        <v>0.16500000000000001</v>
      </c>
      <c r="M53" s="250">
        <v>0.193</v>
      </c>
      <c r="N53" s="250">
        <v>0.19</v>
      </c>
      <c r="O53" s="252" t="s">
        <v>713</v>
      </c>
    </row>
    <row r="54" spans="1:15" ht="18" x14ac:dyDescent="0.35">
      <c r="B54" s="243" t="s">
        <v>85</v>
      </c>
      <c r="C54" s="250">
        <v>0.193</v>
      </c>
      <c r="D54" s="248">
        <v>0.13600000000000001</v>
      </c>
      <c r="E54" s="256">
        <v>0.21</v>
      </c>
      <c r="F54" s="250">
        <v>0.19500000000000001</v>
      </c>
      <c r="G54" s="245">
        <v>0.151</v>
      </c>
      <c r="H54" s="247">
        <v>0.17899999999999999</v>
      </c>
      <c r="I54" s="251">
        <v>0.156</v>
      </c>
      <c r="J54" s="244">
        <v>0.186</v>
      </c>
      <c r="K54" s="250">
        <v>0.191</v>
      </c>
      <c r="L54" s="250">
        <v>0.193</v>
      </c>
      <c r="M54" s="256">
        <v>0.21</v>
      </c>
      <c r="N54" s="244">
        <v>0.184</v>
      </c>
      <c r="O54" s="252" t="s">
        <v>713</v>
      </c>
    </row>
    <row r="55" spans="1:15" ht="18" x14ac:dyDescent="0.35">
      <c r="B55" s="243" t="s">
        <v>98</v>
      </c>
      <c r="C55" s="254">
        <v>0.2</v>
      </c>
      <c r="D55" s="244">
        <v>0.18099999999999999</v>
      </c>
      <c r="E55" s="250">
        <v>0.189</v>
      </c>
      <c r="F55" s="246">
        <v>0.16700000000000001</v>
      </c>
      <c r="G55" s="248">
        <v>0.129</v>
      </c>
      <c r="H55" s="250">
        <v>0.19500000000000001</v>
      </c>
      <c r="I55" s="245">
        <v>0.151</v>
      </c>
      <c r="J55" s="244">
        <v>0.18099999999999999</v>
      </c>
      <c r="K55" s="244">
        <v>0.187</v>
      </c>
      <c r="L55" s="250">
        <v>0.19500000000000001</v>
      </c>
      <c r="M55" s="244">
        <v>0.186</v>
      </c>
      <c r="N55" s="254">
        <v>0.19900000000000001</v>
      </c>
      <c r="O55" s="252" t="s">
        <v>713</v>
      </c>
    </row>
    <row r="56" spans="1:15" ht="18" x14ac:dyDescent="0.35">
      <c r="B56" s="243" t="s">
        <v>111</v>
      </c>
      <c r="C56" s="246">
        <v>0.16800000000000001</v>
      </c>
      <c r="D56" s="251">
        <v>0.16200000000000001</v>
      </c>
      <c r="E56" s="244">
        <v>0.183</v>
      </c>
      <c r="F56" s="254">
        <v>0.2</v>
      </c>
      <c r="G56" s="256">
        <v>0.21199999999999999</v>
      </c>
      <c r="H56" s="246">
        <v>0.17</v>
      </c>
      <c r="I56" s="254">
        <v>0.20399999999999999</v>
      </c>
      <c r="J56" s="247">
        <v>0.17699999999999999</v>
      </c>
      <c r="K56" s="244">
        <v>0.182</v>
      </c>
      <c r="L56" s="254">
        <v>0.20300000000000001</v>
      </c>
      <c r="M56" s="246">
        <v>0.17100000000000001</v>
      </c>
      <c r="N56" s="254">
        <v>0.20499999999999999</v>
      </c>
      <c r="O56" s="252" t="s">
        <v>713</v>
      </c>
    </row>
    <row r="57" spans="1:15" ht="18" x14ac:dyDescent="0.35">
      <c r="B57" s="243" t="s">
        <v>124</v>
      </c>
      <c r="C57" s="254">
        <v>0.20399999999999999</v>
      </c>
      <c r="D57" s="247">
        <v>0.17799999999999999</v>
      </c>
      <c r="E57" s="256">
        <v>0.21199999999999999</v>
      </c>
      <c r="F57" s="244">
        <v>0.18099999999999999</v>
      </c>
      <c r="G57" s="253">
        <v>0.23899999999999999</v>
      </c>
      <c r="H57" s="247">
        <v>0.17199999999999999</v>
      </c>
      <c r="I57" s="256">
        <v>0.20899999999999999</v>
      </c>
      <c r="J57" s="244">
        <v>0.183</v>
      </c>
      <c r="K57" s="256">
        <v>0.20899999999999999</v>
      </c>
      <c r="L57" s="256">
        <v>0.20599999999999999</v>
      </c>
      <c r="M57" s="244">
        <v>0.188</v>
      </c>
      <c r="N57" s="250">
        <v>0.19400000000000001</v>
      </c>
      <c r="O57" s="252" t="s">
        <v>713</v>
      </c>
    </row>
    <row r="58" spans="1:15" ht="18" x14ac:dyDescent="0.35">
      <c r="B58" s="243" t="s">
        <v>137</v>
      </c>
      <c r="C58" s="254">
        <v>0.20499999999999999</v>
      </c>
      <c r="D58" s="250">
        <v>0.19</v>
      </c>
      <c r="E58" s="247">
        <v>0.17899999999999999</v>
      </c>
      <c r="F58" s="255">
        <v>0.221</v>
      </c>
      <c r="G58" s="250">
        <v>0.189</v>
      </c>
      <c r="H58" s="256">
        <v>0.20699999999999999</v>
      </c>
      <c r="I58" s="255">
        <v>0.22</v>
      </c>
      <c r="J58" s="250">
        <v>0.19500000000000001</v>
      </c>
      <c r="K58" s="246">
        <v>0.16900000000000001</v>
      </c>
      <c r="L58" s="254">
        <v>0.20300000000000001</v>
      </c>
      <c r="M58" s="247">
        <v>0.17199999999999999</v>
      </c>
      <c r="N58" s="246">
        <v>0.16500000000000001</v>
      </c>
      <c r="O58" s="252" t="s">
        <v>713</v>
      </c>
    </row>
    <row r="59" spans="1:15" ht="18" x14ac:dyDescent="0.35">
      <c r="B59" s="243" t="s">
        <v>150</v>
      </c>
      <c r="C59" s="246">
        <v>0.16900000000000001</v>
      </c>
      <c r="D59" s="254">
        <v>0.20100000000000001</v>
      </c>
      <c r="E59" s="246">
        <v>0.16400000000000001</v>
      </c>
      <c r="F59" s="254">
        <v>0.19800000000000001</v>
      </c>
      <c r="G59" s="250">
        <v>0.191</v>
      </c>
      <c r="H59" s="247">
        <v>0.17799999999999999</v>
      </c>
      <c r="I59" s="244">
        <v>0.182</v>
      </c>
      <c r="J59" s="256">
        <v>0.21199999999999999</v>
      </c>
      <c r="K59" s="247">
        <v>0.17699999999999999</v>
      </c>
      <c r="L59" s="247">
        <v>0.17199999999999999</v>
      </c>
      <c r="M59" s="256">
        <v>0.20599999999999999</v>
      </c>
      <c r="N59" s="255">
        <v>0.222</v>
      </c>
      <c r="O59" s="252" t="s">
        <v>713</v>
      </c>
    </row>
    <row r="61" spans="1:15" ht="26" x14ac:dyDescent="0.35">
      <c r="A61" s="240" t="s">
        <v>714</v>
      </c>
      <c r="B61" s="241"/>
    </row>
    <row r="62" spans="1:15" x14ac:dyDescent="0.35">
      <c r="A62" s="204" t="s">
        <v>405</v>
      </c>
      <c r="B62" s="204">
        <v>0</v>
      </c>
    </row>
    <row r="64" spans="1:15" x14ac:dyDescent="0.35">
      <c r="B64" s="242"/>
      <c r="C64" s="243">
        <v>1</v>
      </c>
      <c r="D64" s="243">
        <v>2</v>
      </c>
      <c r="E64" s="243">
        <v>3</v>
      </c>
      <c r="F64" s="243">
        <v>4</v>
      </c>
      <c r="G64" s="243">
        <v>5</v>
      </c>
      <c r="H64" s="243">
        <v>6</v>
      </c>
      <c r="I64" s="243">
        <v>7</v>
      </c>
      <c r="J64" s="243">
        <v>8</v>
      </c>
      <c r="K64" s="243">
        <v>9</v>
      </c>
      <c r="L64" s="243">
        <v>10</v>
      </c>
      <c r="M64" s="243">
        <v>11</v>
      </c>
      <c r="N64" s="243">
        <v>12</v>
      </c>
    </row>
    <row r="65" spans="1:15" ht="18" x14ac:dyDescent="0.35">
      <c r="B65" s="243" t="s">
        <v>59</v>
      </c>
      <c r="C65" s="248">
        <v>3.6999999999999998E-2</v>
      </c>
      <c r="D65" s="257">
        <v>4.7E-2</v>
      </c>
      <c r="E65" s="251">
        <v>0.04</v>
      </c>
      <c r="F65" s="245">
        <v>3.9E-2</v>
      </c>
      <c r="G65" s="245">
        <v>3.9E-2</v>
      </c>
      <c r="H65" s="251">
        <v>0.04</v>
      </c>
      <c r="I65" s="245">
        <v>3.9E-2</v>
      </c>
      <c r="J65" s="245">
        <v>3.7999999999999999E-2</v>
      </c>
      <c r="K65" s="249">
        <v>3.7999999999999999E-2</v>
      </c>
      <c r="L65" s="248">
        <v>3.6999999999999998E-2</v>
      </c>
      <c r="M65" s="248">
        <v>3.5999999999999997E-2</v>
      </c>
      <c r="N65" s="245">
        <v>3.9E-2</v>
      </c>
      <c r="O65" s="252" t="s">
        <v>714</v>
      </c>
    </row>
    <row r="66" spans="1:15" ht="18" x14ac:dyDescent="0.35">
      <c r="B66" s="243" t="s">
        <v>72</v>
      </c>
      <c r="C66" s="247">
        <v>4.1000000000000002E-2</v>
      </c>
      <c r="D66" s="246">
        <v>4.1000000000000002E-2</v>
      </c>
      <c r="E66" s="246">
        <v>4.1000000000000002E-2</v>
      </c>
      <c r="F66" s="251">
        <v>3.9E-2</v>
      </c>
      <c r="G66" s="246">
        <v>0.04</v>
      </c>
      <c r="H66" s="245">
        <v>3.9E-2</v>
      </c>
      <c r="I66" s="245">
        <v>3.9E-2</v>
      </c>
      <c r="J66" s="251">
        <v>0.04</v>
      </c>
      <c r="K66" s="247">
        <v>4.1000000000000002E-2</v>
      </c>
      <c r="L66" s="245">
        <v>3.9E-2</v>
      </c>
      <c r="M66" s="251">
        <v>0.04</v>
      </c>
      <c r="N66" s="247">
        <v>4.1000000000000002E-2</v>
      </c>
      <c r="O66" s="252" t="s">
        <v>714</v>
      </c>
    </row>
    <row r="67" spans="1:15" ht="18" x14ac:dyDescent="0.35">
      <c r="B67" s="243" t="s">
        <v>85</v>
      </c>
      <c r="C67" s="251">
        <v>3.9E-2</v>
      </c>
      <c r="D67" s="247">
        <v>4.2000000000000003E-2</v>
      </c>
      <c r="E67" s="247">
        <v>4.1000000000000002E-2</v>
      </c>
      <c r="F67" s="247">
        <v>4.2000000000000003E-2</v>
      </c>
      <c r="G67" s="251">
        <v>0.04</v>
      </c>
      <c r="H67" s="249">
        <v>3.6999999999999998E-2</v>
      </c>
      <c r="I67" s="246">
        <v>4.1000000000000002E-2</v>
      </c>
      <c r="J67" s="245">
        <v>3.9E-2</v>
      </c>
      <c r="K67" s="244">
        <v>4.2999999999999997E-2</v>
      </c>
      <c r="L67" s="244">
        <v>4.2999999999999997E-2</v>
      </c>
      <c r="M67" s="245">
        <v>3.9E-2</v>
      </c>
      <c r="N67" s="249">
        <v>3.7999999999999999E-2</v>
      </c>
      <c r="O67" s="252" t="s">
        <v>714</v>
      </c>
    </row>
    <row r="68" spans="1:15" ht="18" x14ac:dyDescent="0.35">
      <c r="B68" s="243" t="s">
        <v>98</v>
      </c>
      <c r="C68" s="251">
        <v>3.9E-2</v>
      </c>
      <c r="D68" s="245">
        <v>3.7999999999999999E-2</v>
      </c>
      <c r="E68" s="251">
        <v>0.04</v>
      </c>
      <c r="F68" s="251">
        <v>3.9E-2</v>
      </c>
      <c r="G68" s="245">
        <v>3.7999999999999999E-2</v>
      </c>
      <c r="H68" s="245">
        <v>3.7999999999999999E-2</v>
      </c>
      <c r="I68" s="248">
        <v>3.6999999999999998E-2</v>
      </c>
      <c r="J68" s="245">
        <v>3.9E-2</v>
      </c>
      <c r="K68" s="251">
        <v>0.04</v>
      </c>
      <c r="L68" s="251">
        <v>0.04</v>
      </c>
      <c r="M68" s="247">
        <v>4.1000000000000002E-2</v>
      </c>
      <c r="N68" s="251">
        <v>0.04</v>
      </c>
      <c r="O68" s="252" t="s">
        <v>714</v>
      </c>
    </row>
    <row r="69" spans="1:15" ht="18" x14ac:dyDescent="0.35">
      <c r="B69" s="243" t="s">
        <v>111</v>
      </c>
      <c r="C69" s="250">
        <v>4.2999999999999997E-2</v>
      </c>
      <c r="D69" s="246">
        <v>0.04</v>
      </c>
      <c r="E69" s="246">
        <v>0.04</v>
      </c>
      <c r="F69" s="251">
        <v>0.04</v>
      </c>
      <c r="G69" s="251">
        <v>0.04</v>
      </c>
      <c r="H69" s="251">
        <v>0.04</v>
      </c>
      <c r="I69" s="246">
        <v>4.1000000000000002E-2</v>
      </c>
      <c r="J69" s="247">
        <v>4.2000000000000003E-2</v>
      </c>
      <c r="K69" s="251">
        <v>0.04</v>
      </c>
      <c r="L69" s="245">
        <v>3.9E-2</v>
      </c>
      <c r="M69" s="245">
        <v>3.9E-2</v>
      </c>
      <c r="N69" s="251">
        <v>3.9E-2</v>
      </c>
      <c r="O69" s="252" t="s">
        <v>714</v>
      </c>
    </row>
    <row r="70" spans="1:15" ht="18" x14ac:dyDescent="0.35">
      <c r="B70" s="243" t="s">
        <v>124</v>
      </c>
      <c r="C70" s="245">
        <v>3.9E-2</v>
      </c>
      <c r="D70" s="249">
        <v>3.7999999999999999E-2</v>
      </c>
      <c r="E70" s="244">
        <v>4.2000000000000003E-2</v>
      </c>
      <c r="F70" s="254">
        <v>4.3999999999999997E-2</v>
      </c>
      <c r="G70" s="245">
        <v>3.9E-2</v>
      </c>
      <c r="H70" s="248">
        <v>3.5999999999999997E-2</v>
      </c>
      <c r="I70" s="249">
        <v>3.7999999999999999E-2</v>
      </c>
      <c r="J70" s="251">
        <v>3.9E-2</v>
      </c>
      <c r="K70" s="244">
        <v>4.2000000000000003E-2</v>
      </c>
      <c r="L70" s="245">
        <v>3.7999999999999999E-2</v>
      </c>
      <c r="M70" s="245">
        <v>3.9E-2</v>
      </c>
      <c r="N70" s="251">
        <v>0.04</v>
      </c>
      <c r="O70" s="252" t="s">
        <v>714</v>
      </c>
    </row>
    <row r="71" spans="1:15" ht="18" x14ac:dyDescent="0.35">
      <c r="B71" s="243" t="s">
        <v>137</v>
      </c>
      <c r="C71" s="244">
        <v>4.2000000000000003E-2</v>
      </c>
      <c r="D71" s="251">
        <v>3.9E-2</v>
      </c>
      <c r="E71" s="247">
        <v>4.2000000000000003E-2</v>
      </c>
      <c r="F71" s="258">
        <v>4.9000000000000002E-2</v>
      </c>
      <c r="G71" s="245">
        <v>3.7999999999999999E-2</v>
      </c>
      <c r="H71" s="251">
        <v>3.9E-2</v>
      </c>
      <c r="I71" s="251">
        <v>0.04</v>
      </c>
      <c r="J71" s="246">
        <v>4.1000000000000002E-2</v>
      </c>
      <c r="K71" s="251">
        <v>3.9E-2</v>
      </c>
      <c r="L71" s="246">
        <v>0.04</v>
      </c>
      <c r="M71" s="249">
        <v>3.7999999999999999E-2</v>
      </c>
      <c r="N71" s="249">
        <v>3.7999999999999999E-2</v>
      </c>
      <c r="O71" s="252" t="s">
        <v>714</v>
      </c>
    </row>
    <row r="72" spans="1:15" ht="18" x14ac:dyDescent="0.35">
      <c r="B72" s="243" t="s">
        <v>150</v>
      </c>
      <c r="C72" s="244">
        <v>4.2999999999999997E-2</v>
      </c>
      <c r="D72" s="251">
        <v>0.04</v>
      </c>
      <c r="E72" s="248">
        <v>3.6999999999999998E-2</v>
      </c>
      <c r="F72" s="251">
        <v>3.9E-2</v>
      </c>
      <c r="G72" s="249">
        <v>3.7999999999999999E-2</v>
      </c>
      <c r="H72" s="245">
        <v>3.9E-2</v>
      </c>
      <c r="I72" s="249">
        <v>3.7999999999999999E-2</v>
      </c>
      <c r="J72" s="251">
        <v>0.04</v>
      </c>
      <c r="K72" s="245">
        <v>3.9E-2</v>
      </c>
      <c r="L72" s="248">
        <v>3.6999999999999998E-2</v>
      </c>
      <c r="M72" s="255">
        <v>4.5999999999999999E-2</v>
      </c>
      <c r="N72" s="247">
        <v>4.1000000000000002E-2</v>
      </c>
      <c r="O72" s="252" t="s">
        <v>714</v>
      </c>
    </row>
    <row r="74" spans="1:15" ht="26" x14ac:dyDescent="0.35">
      <c r="A74" s="240" t="s">
        <v>715</v>
      </c>
      <c r="B74" s="241"/>
    </row>
    <row r="75" spans="1:15" x14ac:dyDescent="0.35">
      <c r="A75" s="204" t="s">
        <v>405</v>
      </c>
      <c r="B75" s="204">
        <v>0</v>
      </c>
    </row>
    <row r="77" spans="1:15" x14ac:dyDescent="0.35">
      <c r="B77" s="242"/>
      <c r="C77" s="243">
        <v>1</v>
      </c>
      <c r="D77" s="243">
        <v>2</v>
      </c>
      <c r="E77" s="243">
        <v>3</v>
      </c>
      <c r="F77" s="243">
        <v>4</v>
      </c>
      <c r="G77" s="243">
        <v>5</v>
      </c>
      <c r="H77" s="243">
        <v>6</v>
      </c>
      <c r="I77" s="243">
        <v>7</v>
      </c>
      <c r="J77" s="243">
        <v>8</v>
      </c>
      <c r="K77" s="243">
        <v>9</v>
      </c>
      <c r="L77" s="243">
        <v>10</v>
      </c>
      <c r="M77" s="243">
        <v>11</v>
      </c>
      <c r="N77" s="243">
        <v>12</v>
      </c>
    </row>
    <row r="78" spans="1:15" ht="18" x14ac:dyDescent="0.35">
      <c r="B78" s="243" t="s">
        <v>59</v>
      </c>
      <c r="C78" s="247">
        <v>7.5999999999999998E-2</v>
      </c>
      <c r="D78" s="253">
        <v>8.5999999999999993E-2</v>
      </c>
      <c r="E78" s="256">
        <v>8.1000000000000003E-2</v>
      </c>
      <c r="F78" s="250">
        <v>7.8E-2</v>
      </c>
      <c r="G78" s="254">
        <v>7.9000000000000001E-2</v>
      </c>
      <c r="H78" s="246">
        <v>7.4999999999999997E-2</v>
      </c>
      <c r="I78" s="250">
        <v>7.9000000000000001E-2</v>
      </c>
      <c r="J78" s="245">
        <v>7.1999999999999995E-2</v>
      </c>
      <c r="K78" s="247">
        <v>7.5999999999999998E-2</v>
      </c>
      <c r="L78" s="247">
        <v>7.5999999999999998E-2</v>
      </c>
      <c r="M78" s="249">
        <v>7.0999999999999994E-2</v>
      </c>
      <c r="N78" s="246">
        <v>7.4999999999999997E-2</v>
      </c>
      <c r="O78" s="252" t="s">
        <v>715</v>
      </c>
    </row>
    <row r="79" spans="1:15" ht="18" x14ac:dyDescent="0.35">
      <c r="B79" s="243" t="s">
        <v>72</v>
      </c>
      <c r="C79" s="256">
        <v>8.2000000000000003E-2</v>
      </c>
      <c r="D79" s="247">
        <v>7.5999999999999998E-2</v>
      </c>
      <c r="E79" s="254">
        <v>0.08</v>
      </c>
      <c r="F79" s="251">
        <v>7.3999999999999996E-2</v>
      </c>
      <c r="G79" s="244">
        <v>7.6999999999999999E-2</v>
      </c>
      <c r="H79" s="246">
        <v>7.4999999999999997E-2</v>
      </c>
      <c r="I79" s="247">
        <v>7.5999999999999998E-2</v>
      </c>
      <c r="J79" s="246">
        <v>7.4999999999999997E-2</v>
      </c>
      <c r="K79" s="247">
        <v>7.5999999999999998E-2</v>
      </c>
      <c r="L79" s="254">
        <v>0.08</v>
      </c>
      <c r="M79" s="247">
        <v>7.5999999999999998E-2</v>
      </c>
      <c r="N79" s="254">
        <v>0.08</v>
      </c>
      <c r="O79" s="252" t="s">
        <v>715</v>
      </c>
    </row>
    <row r="80" spans="1:15" ht="18" x14ac:dyDescent="0.35">
      <c r="B80" s="243" t="s">
        <v>85</v>
      </c>
      <c r="C80" s="246">
        <v>7.3999999999999996E-2</v>
      </c>
      <c r="D80" s="253">
        <v>8.5000000000000006E-2</v>
      </c>
      <c r="E80" s="246">
        <v>7.4999999999999997E-2</v>
      </c>
      <c r="F80" s="254">
        <v>0.08</v>
      </c>
      <c r="G80" s="244">
        <v>7.6999999999999999E-2</v>
      </c>
      <c r="H80" s="250">
        <v>7.8E-2</v>
      </c>
      <c r="I80" s="256">
        <v>8.1000000000000003E-2</v>
      </c>
      <c r="J80" s="251">
        <v>7.3999999999999996E-2</v>
      </c>
      <c r="K80" s="247">
        <v>7.5999999999999998E-2</v>
      </c>
      <c r="L80" s="256">
        <v>8.1000000000000003E-2</v>
      </c>
      <c r="M80" s="244">
        <v>7.6999999999999999E-2</v>
      </c>
      <c r="N80" s="250">
        <v>7.8E-2</v>
      </c>
      <c r="O80" s="252" t="s">
        <v>715</v>
      </c>
    </row>
    <row r="81" spans="2:15" ht="18" x14ac:dyDescent="0.35">
      <c r="B81" s="243" t="s">
        <v>98</v>
      </c>
      <c r="C81" s="247">
        <v>7.5999999999999998E-2</v>
      </c>
      <c r="D81" s="248">
        <v>6.9000000000000006E-2</v>
      </c>
      <c r="E81" s="246">
        <v>7.3999999999999996E-2</v>
      </c>
      <c r="F81" s="256">
        <v>8.2000000000000003E-2</v>
      </c>
      <c r="G81" s="247">
        <v>7.4999999999999997E-2</v>
      </c>
      <c r="H81" s="244">
        <v>7.6999999999999999E-2</v>
      </c>
      <c r="I81" s="247">
        <v>7.4999999999999997E-2</v>
      </c>
      <c r="J81" s="250">
        <v>7.8E-2</v>
      </c>
      <c r="K81" s="244">
        <v>7.6999999999999999E-2</v>
      </c>
      <c r="L81" s="250">
        <v>7.8E-2</v>
      </c>
      <c r="M81" s="244">
        <v>7.8E-2</v>
      </c>
      <c r="N81" s="251">
        <v>7.2999999999999995E-2</v>
      </c>
      <c r="O81" s="252" t="s">
        <v>715</v>
      </c>
    </row>
    <row r="82" spans="2:15" ht="18" x14ac:dyDescent="0.35">
      <c r="B82" s="243" t="s">
        <v>111</v>
      </c>
      <c r="C82" s="255">
        <v>8.2000000000000003E-2</v>
      </c>
      <c r="D82" s="253">
        <v>8.5000000000000006E-2</v>
      </c>
      <c r="E82" s="251">
        <v>7.3999999999999996E-2</v>
      </c>
      <c r="F82" s="247">
        <v>7.5999999999999998E-2</v>
      </c>
      <c r="G82" s="246">
        <v>7.4999999999999997E-2</v>
      </c>
      <c r="H82" s="254">
        <v>0.08</v>
      </c>
      <c r="I82" s="255">
        <v>8.3000000000000004E-2</v>
      </c>
      <c r="J82" s="255">
        <v>8.3000000000000004E-2</v>
      </c>
      <c r="K82" s="244">
        <v>7.6999999999999999E-2</v>
      </c>
      <c r="L82" s="250">
        <v>7.9000000000000001E-2</v>
      </c>
      <c r="M82" s="246">
        <v>7.3999999999999996E-2</v>
      </c>
      <c r="N82" s="245">
        <v>7.0999999999999994E-2</v>
      </c>
      <c r="O82" s="252" t="s">
        <v>715</v>
      </c>
    </row>
    <row r="83" spans="2:15" ht="18" x14ac:dyDescent="0.35">
      <c r="B83" s="243" t="s">
        <v>124</v>
      </c>
      <c r="C83" s="256">
        <v>8.1000000000000003E-2</v>
      </c>
      <c r="D83" s="247">
        <v>7.5999999999999998E-2</v>
      </c>
      <c r="E83" s="254">
        <v>0.08</v>
      </c>
      <c r="F83" s="255">
        <v>8.3000000000000004E-2</v>
      </c>
      <c r="G83" s="254">
        <v>0.08</v>
      </c>
      <c r="H83" s="247">
        <v>7.5999999999999998E-2</v>
      </c>
      <c r="I83" s="246">
        <v>7.3999999999999996E-2</v>
      </c>
      <c r="J83" s="246">
        <v>7.4999999999999997E-2</v>
      </c>
      <c r="K83" s="257">
        <v>8.3000000000000004E-2</v>
      </c>
      <c r="L83" s="247">
        <v>7.5999999999999998E-2</v>
      </c>
      <c r="M83" s="246">
        <v>7.4999999999999997E-2</v>
      </c>
      <c r="N83" s="255">
        <v>8.3000000000000004E-2</v>
      </c>
      <c r="O83" s="252" t="s">
        <v>715</v>
      </c>
    </row>
    <row r="84" spans="2:15" ht="18" x14ac:dyDescent="0.35">
      <c r="B84" s="243" t="s">
        <v>137</v>
      </c>
      <c r="C84" s="250">
        <v>7.9000000000000001E-2</v>
      </c>
      <c r="D84" s="244">
        <v>7.8E-2</v>
      </c>
      <c r="E84" s="244">
        <v>7.6999999999999999E-2</v>
      </c>
      <c r="F84" s="256">
        <v>8.2000000000000003E-2</v>
      </c>
      <c r="G84" s="254">
        <v>0.08</v>
      </c>
      <c r="H84" s="246">
        <v>7.3999999999999996E-2</v>
      </c>
      <c r="I84" s="247">
        <v>7.4999999999999997E-2</v>
      </c>
      <c r="J84" s="244">
        <v>7.8E-2</v>
      </c>
      <c r="K84" s="255">
        <v>8.2000000000000003E-2</v>
      </c>
      <c r="L84" s="247">
        <v>7.5999999999999998E-2</v>
      </c>
      <c r="M84" s="254">
        <v>0.08</v>
      </c>
      <c r="N84" s="250">
        <v>7.9000000000000001E-2</v>
      </c>
      <c r="O84" s="252" t="s">
        <v>715</v>
      </c>
    </row>
    <row r="85" spans="2:15" ht="18" x14ac:dyDescent="0.35">
      <c r="B85" s="243" t="s">
        <v>150</v>
      </c>
      <c r="C85" s="255">
        <v>8.3000000000000004E-2</v>
      </c>
      <c r="D85" s="256">
        <v>8.1000000000000003E-2</v>
      </c>
      <c r="E85" s="250">
        <v>7.8E-2</v>
      </c>
      <c r="F85" s="254">
        <v>0.08</v>
      </c>
      <c r="G85" s="244">
        <v>7.6999999999999999E-2</v>
      </c>
      <c r="H85" s="246">
        <v>7.4999999999999997E-2</v>
      </c>
      <c r="I85" s="244">
        <v>7.8E-2</v>
      </c>
      <c r="J85" s="250">
        <v>7.8E-2</v>
      </c>
      <c r="K85" s="254">
        <v>0.08</v>
      </c>
      <c r="L85" s="244">
        <v>7.8E-2</v>
      </c>
      <c r="M85" s="258">
        <v>8.6999999999999994E-2</v>
      </c>
      <c r="N85" s="244">
        <v>7.6999999999999999E-2</v>
      </c>
      <c r="O85" s="252" t="s">
        <v>715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29:M37"/>
  <sheetViews>
    <sheetView tabSelected="1" topLeftCell="A37" zoomScale="85" zoomScaleNormal="85" workbookViewId="0">
      <selection activeCell="I10" sqref="I10"/>
    </sheetView>
  </sheetViews>
  <sheetFormatPr baseColWidth="10" defaultRowHeight="14.5" x14ac:dyDescent="0.35"/>
  <sheetData>
    <row r="29" spans="1:13" x14ac:dyDescent="0.35">
      <c r="A29" s="160" t="s">
        <v>406</v>
      </c>
      <c r="B29" s="85">
        <v>1</v>
      </c>
      <c r="C29" s="85">
        <v>2</v>
      </c>
      <c r="D29" s="85">
        <v>3</v>
      </c>
      <c r="E29" s="85">
        <v>4</v>
      </c>
      <c r="F29" s="85">
        <v>5</v>
      </c>
      <c r="G29" s="85">
        <v>6</v>
      </c>
      <c r="H29" s="85">
        <v>7</v>
      </c>
      <c r="I29" s="85">
        <v>8</v>
      </c>
      <c r="J29" s="85">
        <v>9</v>
      </c>
      <c r="K29" s="85">
        <v>10</v>
      </c>
      <c r="L29" s="85">
        <v>11</v>
      </c>
      <c r="M29" s="85">
        <v>12</v>
      </c>
    </row>
    <row r="30" spans="1:13" x14ac:dyDescent="0.35">
      <c r="A30" s="84" t="s">
        <v>59</v>
      </c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</row>
    <row r="31" spans="1:13" x14ac:dyDescent="0.35">
      <c r="A31" s="84" t="s">
        <v>72</v>
      </c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</row>
    <row r="32" spans="1:13" x14ac:dyDescent="0.35">
      <c r="A32" s="84" t="s">
        <v>85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</row>
    <row r="33" spans="1:13" x14ac:dyDescent="0.35">
      <c r="A33" s="84" t="s">
        <v>98</v>
      </c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</row>
    <row r="34" spans="1:13" x14ac:dyDescent="0.35">
      <c r="A34" s="84" t="s">
        <v>111</v>
      </c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</row>
    <row r="35" spans="1:13" x14ac:dyDescent="0.35">
      <c r="A35" s="84" t="s">
        <v>124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</row>
    <row r="36" spans="1:13" x14ac:dyDescent="0.35">
      <c r="A36" s="84" t="s">
        <v>137</v>
      </c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</row>
    <row r="37" spans="1:13" x14ac:dyDescent="0.35">
      <c r="A37" s="84" t="s">
        <v>150</v>
      </c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0"/>
  <dimension ref="A1"/>
  <sheetViews>
    <sheetView zoomScale="40" zoomScaleNormal="40" workbookViewId="0"/>
  </sheetViews>
  <sheetFormatPr baseColWidth="10" defaultRowHeight="14.5" x14ac:dyDescent="0.3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T121"/>
  <sheetViews>
    <sheetView zoomScale="85" zoomScaleNormal="85" workbookViewId="0">
      <pane ySplit="2" topLeftCell="A3" activePane="bottomLeft" state="frozen"/>
      <selection pane="bottomLeft" activeCell="V26" sqref="V26"/>
    </sheetView>
  </sheetViews>
  <sheetFormatPr baseColWidth="10" defaultRowHeight="14.5" x14ac:dyDescent="0.35"/>
  <cols>
    <col min="1" max="1" width="0.26953125" style="200" customWidth="1"/>
    <col min="2" max="2" width="7.453125" style="200" customWidth="1"/>
    <col min="3" max="3" width="8.6328125" style="200" customWidth="1"/>
    <col min="5" max="5" width="64.36328125" style="200" customWidth="1"/>
    <col min="6" max="6" width="7.453125" style="200" customWidth="1"/>
    <col min="7" max="7" width="5.453125" style="200" customWidth="1"/>
    <col min="8" max="8" width="6.6328125" style="200" customWidth="1"/>
    <col min="9" max="9" width="8.36328125" style="200" customWidth="1"/>
    <col min="10" max="10" width="14.1796875" style="200" customWidth="1"/>
    <col min="11" max="12" width="2.1796875" style="200" customWidth="1"/>
    <col min="13" max="13" width="1.90625" style="200" customWidth="1"/>
    <col min="14" max="14" width="2.453125" style="200" customWidth="1"/>
    <col min="15" max="15" width="15" style="200" customWidth="1"/>
    <col min="16" max="16" width="12.7265625" style="200" customWidth="1"/>
    <col min="17" max="17" width="12" style="200" customWidth="1"/>
  </cols>
  <sheetData>
    <row r="1" spans="1:20" ht="15.5" customHeight="1" x14ac:dyDescent="0.35">
      <c r="A1" s="168"/>
      <c r="B1" s="169"/>
      <c r="C1" s="170"/>
      <c r="D1" s="170"/>
      <c r="E1" s="170"/>
      <c r="F1" s="169"/>
      <c r="G1" s="169"/>
      <c r="H1" s="171"/>
      <c r="I1" s="172"/>
      <c r="J1" s="314" t="s">
        <v>407</v>
      </c>
      <c r="K1" s="275"/>
      <c r="L1" s="275"/>
      <c r="M1" s="275"/>
      <c r="N1" s="315"/>
      <c r="O1" s="314" t="s">
        <v>333</v>
      </c>
      <c r="P1" s="275"/>
      <c r="Q1" s="275"/>
      <c r="R1" s="275"/>
      <c r="S1" s="275"/>
      <c r="T1" s="315"/>
    </row>
    <row r="2" spans="1:20" ht="35" customHeight="1" x14ac:dyDescent="0.35">
      <c r="A2" s="180" t="s">
        <v>408</v>
      </c>
      <c r="B2" s="181" t="s">
        <v>409</v>
      </c>
      <c r="C2" s="182" t="s">
        <v>410</v>
      </c>
      <c r="D2" s="182" t="s">
        <v>411</v>
      </c>
      <c r="E2" s="182" t="s">
        <v>412</v>
      </c>
      <c r="F2" s="182" t="s">
        <v>413</v>
      </c>
      <c r="G2" s="182" t="s">
        <v>333</v>
      </c>
      <c r="H2" s="183" t="s">
        <v>414</v>
      </c>
      <c r="I2" s="184" t="s">
        <v>415</v>
      </c>
      <c r="J2" s="185" t="s">
        <v>416</v>
      </c>
      <c r="K2" s="186" t="s">
        <v>417</v>
      </c>
      <c r="L2" s="186" t="s">
        <v>418</v>
      </c>
      <c r="M2" s="186" t="s">
        <v>419</v>
      </c>
      <c r="N2" s="187" t="s">
        <v>420</v>
      </c>
      <c r="O2" s="188" t="s">
        <v>421</v>
      </c>
      <c r="P2" s="182" t="s">
        <v>422</v>
      </c>
      <c r="Q2" s="182" t="s">
        <v>423</v>
      </c>
      <c r="R2" s="182" t="s">
        <v>424</v>
      </c>
      <c r="S2" s="182" t="s">
        <v>425</v>
      </c>
      <c r="T2" s="189" t="s">
        <v>426</v>
      </c>
    </row>
    <row r="3" spans="1:20" x14ac:dyDescent="0.35">
      <c r="A3" s="39" t="s">
        <v>427</v>
      </c>
      <c r="B3">
        <v>1</v>
      </c>
      <c r="C3" t="s">
        <v>428</v>
      </c>
      <c r="D3" t="str">
        <f ca="1">OFFSET(Syntheses!$B$19,MOD(ROW('UV quantification'!B36)-ROW('UV quantification'!$B$36),8),QUOTIENT(ROW('UV quantification'!B36)-ROW('UV quantification'!$B$36),8))</f>
        <v>nCoV-2019_1_LEFT</v>
      </c>
      <c r="E3" t="str">
        <f ca="1">OFFSET(Syntheses!$B$8,MOD(ROW('UV quantification'!B36)-ROW('UV quantification'!$B$36),8),QUOTIENT(ROW('UV quantification'!B36)-ROW('UV quantification'!$B$36),8))</f>
        <v>ACCAACCAACTTTCGATCTCTTGT</v>
      </c>
      <c r="F3">
        <f t="shared" ref="F3:F34" ca="1" si="0">LEN(E3)</f>
        <v>24</v>
      </c>
      <c r="G3">
        <v>1</v>
      </c>
      <c r="H3" t="s">
        <v>59</v>
      </c>
      <c r="I3" s="165" t="s">
        <v>429</v>
      </c>
      <c r="J3" s="39">
        <f t="shared" ref="J3:J34" ca="1" si="1">K3+L3+M3+QUOTIENT(N3,2)*5+MOD(N3,2)</f>
        <v>0</v>
      </c>
      <c r="K3">
        <f t="shared" ref="K3:M22" ca="1" si="2">(LEN($E3)-LEN(SUBSTITUTE($E3,K$2,"")))/LEN(K$2)</f>
        <v>0</v>
      </c>
      <c r="L3">
        <f t="shared" ca="1" si="2"/>
        <v>0</v>
      </c>
      <c r="M3">
        <f t="shared" ca="1" si="2"/>
        <v>0</v>
      </c>
      <c r="N3" s="165">
        <f t="shared" ref="N3:N34" ca="1" si="3">(LEN($E3)-3-LEN(SUBSTITUTE(LEFT($E3, LEN($E3)-3),N$2,"")))/LEN(N$2)</f>
        <v>0</v>
      </c>
      <c r="O3" s="166" t="str">
        <f>General!$B$1</f>
        <v>200504_P1_HL_ncov2019_Pool1</v>
      </c>
      <c r="P3" t="e">
        <f ca="1">OFFSET('UV quantification'!$B$36,MOD(ROW('UV quantification'!B36)-ROW('UV quantification'!$B$36),8),QUOTIENT(ROW('UV quantification'!B36)-ROW('UV quantification'!$B$36),8))</f>
        <v>#DIV/0!</v>
      </c>
      <c r="Q3" t="e">
        <f ca="1">OFFSET('UV quantification'!$B$26,MOD(ROW('UV quantification'!B36)-ROW('UV quantification'!$B$36),8),QUOTIENT(ROW('UV quantification'!B36)-ROW('UV quantification'!$B$36),8))</f>
        <v>#DIV/0!</v>
      </c>
      <c r="R3">
        <f ca="1">OFFSET('OP2'!$B$30,MOD(ROW('UV quantification'!B36)-ROW('UV quantification'!$B$36),8),QUOTIENT(ROW('UV quantification'!B36)-ROW('UV quantification'!$B$36),8))</f>
        <v>0</v>
      </c>
      <c r="T3" s="165"/>
    </row>
    <row r="4" spans="1:20" x14ac:dyDescent="0.35">
      <c r="A4" s="39" t="s">
        <v>430</v>
      </c>
      <c r="B4">
        <v>2</v>
      </c>
      <c r="C4" t="s">
        <v>431</v>
      </c>
      <c r="D4" t="str">
        <f ca="1">OFFSET(Syntheses!$B$19,MOD(ROW('UV quantification'!B37)-ROW('UV quantification'!$B$36),8),QUOTIENT(ROW('UV quantification'!B37)-ROW('UV quantification'!$B$36),8))</f>
        <v>nCoV-2019_1_RIGHT</v>
      </c>
      <c r="E4" t="str">
        <f ca="1">OFFSET(Syntheses!$B$8,MOD(ROW('UV quantification'!B37)-ROW('UV quantification'!$B$36),8),QUOTIENT(ROW('UV quantification'!B37)-ROW('UV quantification'!$B$36),8))</f>
        <v>CATCTTTAAGATGTTGACGTGCCTC</v>
      </c>
      <c r="F4">
        <f t="shared" ca="1" si="0"/>
        <v>25</v>
      </c>
      <c r="G4">
        <v>1</v>
      </c>
      <c r="H4" t="s">
        <v>72</v>
      </c>
      <c r="I4" s="165" t="s">
        <v>429</v>
      </c>
      <c r="J4" s="39">
        <f t="shared" ca="1" si="1"/>
        <v>0</v>
      </c>
      <c r="K4">
        <f t="shared" ca="1" si="2"/>
        <v>0</v>
      </c>
      <c r="L4">
        <f t="shared" ca="1" si="2"/>
        <v>0</v>
      </c>
      <c r="M4">
        <f t="shared" ca="1" si="2"/>
        <v>0</v>
      </c>
      <c r="N4" s="165">
        <f t="shared" ca="1" si="3"/>
        <v>0</v>
      </c>
      <c r="O4" s="166" t="str">
        <f>General!$B$1</f>
        <v>200504_P1_HL_ncov2019_Pool1</v>
      </c>
      <c r="P4" t="e">
        <f ca="1">OFFSET('UV quantification'!$B$36,MOD(ROW('UV quantification'!B37)-ROW('UV quantification'!$B$36),8),QUOTIENT(ROW('UV quantification'!B37)-ROW('UV quantification'!$B$36),8))</f>
        <v>#DIV/0!</v>
      </c>
      <c r="Q4" t="e">
        <f ca="1">OFFSET('UV quantification'!$B$26,MOD(ROW('UV quantification'!B37)-ROW('UV quantification'!$B$36),8),QUOTIENT(ROW('UV quantification'!B37)-ROW('UV quantification'!$B$36),8))</f>
        <v>#DIV/0!</v>
      </c>
      <c r="R4">
        <f ca="1">OFFSET('OP2'!$B$30,MOD(ROW('UV quantification'!B37)-ROW('UV quantification'!$B$36),8),QUOTIENT(ROW('UV quantification'!B37)-ROW('UV quantification'!$B$36),8))</f>
        <v>0</v>
      </c>
      <c r="T4" s="165"/>
    </row>
    <row r="5" spans="1:20" x14ac:dyDescent="0.35">
      <c r="A5" s="39" t="s">
        <v>432</v>
      </c>
      <c r="B5">
        <v>3</v>
      </c>
      <c r="C5" t="s">
        <v>433</v>
      </c>
      <c r="D5" t="str">
        <f ca="1">OFFSET(Syntheses!$B$19,MOD(ROW('UV quantification'!B38)-ROW('UV quantification'!$B$36),8),QUOTIENT(ROW('UV quantification'!B38)-ROW('UV quantification'!$B$36),8))</f>
        <v>nCoV-2019_3_LEFT</v>
      </c>
      <c r="E5" t="str">
        <f ca="1">OFFSET(Syntheses!$B$8,MOD(ROW('UV quantification'!B38)-ROW('UV quantification'!$B$36),8),QUOTIENT(ROW('UV quantification'!B38)-ROW('UV quantification'!$B$36),8))</f>
        <v>CGGTAATAAAGGAGCTGGTGGC</v>
      </c>
      <c r="F5">
        <f t="shared" ca="1" si="0"/>
        <v>22</v>
      </c>
      <c r="G5">
        <v>1</v>
      </c>
      <c r="H5" t="s">
        <v>85</v>
      </c>
      <c r="I5" s="165" t="s">
        <v>429</v>
      </c>
      <c r="J5" s="39">
        <f t="shared" ca="1" si="1"/>
        <v>0</v>
      </c>
      <c r="K5">
        <f t="shared" ca="1" si="2"/>
        <v>0</v>
      </c>
      <c r="L5">
        <f t="shared" ca="1" si="2"/>
        <v>0</v>
      </c>
      <c r="M5">
        <f t="shared" ca="1" si="2"/>
        <v>0</v>
      </c>
      <c r="N5" s="165">
        <f t="shared" ca="1" si="3"/>
        <v>0</v>
      </c>
      <c r="O5" s="166" t="str">
        <f>General!$B$1</f>
        <v>200504_P1_HL_ncov2019_Pool1</v>
      </c>
      <c r="P5" t="e">
        <f ca="1">OFFSET('UV quantification'!$B$36,MOD(ROW('UV quantification'!B38)-ROW('UV quantification'!$B$36),8),QUOTIENT(ROW('UV quantification'!B38)-ROW('UV quantification'!$B$36),8))</f>
        <v>#DIV/0!</v>
      </c>
      <c r="Q5" t="e">
        <f ca="1">OFFSET('UV quantification'!$B$26,MOD(ROW('UV quantification'!B38)-ROW('UV quantification'!$B$36),8),QUOTIENT(ROW('UV quantification'!B38)-ROW('UV quantification'!$B$36),8))</f>
        <v>#DIV/0!</v>
      </c>
      <c r="R5">
        <f ca="1">OFFSET('OP2'!$B$30,MOD(ROW('UV quantification'!B38)-ROW('UV quantification'!$B$36),8),QUOTIENT(ROW('UV quantification'!B38)-ROW('UV quantification'!$B$36),8))</f>
        <v>0</v>
      </c>
      <c r="T5" s="165"/>
    </row>
    <row r="6" spans="1:20" x14ac:dyDescent="0.35">
      <c r="A6" s="39" t="s">
        <v>434</v>
      </c>
      <c r="B6">
        <v>4</v>
      </c>
      <c r="C6" t="s">
        <v>435</v>
      </c>
      <c r="D6" t="str">
        <f ca="1">OFFSET(Syntheses!$B$19,MOD(ROW('UV quantification'!B39)-ROW('UV quantification'!$B$36),8),QUOTIENT(ROW('UV quantification'!B39)-ROW('UV quantification'!$B$36),8))</f>
        <v>nCoV-2019_3_RIGHT</v>
      </c>
      <c r="E6" t="str">
        <f ca="1">OFFSET(Syntheses!$B$8,MOD(ROW('UV quantification'!B39)-ROW('UV quantification'!$B$36),8),QUOTIENT(ROW('UV quantification'!B39)-ROW('UV quantification'!$B$36),8))</f>
        <v>AAGGTGTCTGCAATTCATAGCTCT</v>
      </c>
      <c r="F6">
        <f t="shared" ca="1" si="0"/>
        <v>24</v>
      </c>
      <c r="G6">
        <v>1</v>
      </c>
      <c r="H6" t="s">
        <v>98</v>
      </c>
      <c r="I6" s="165" t="s">
        <v>429</v>
      </c>
      <c r="J6" s="39">
        <f t="shared" ca="1" si="1"/>
        <v>0</v>
      </c>
      <c r="K6">
        <f t="shared" ca="1" si="2"/>
        <v>0</v>
      </c>
      <c r="L6">
        <f t="shared" ca="1" si="2"/>
        <v>0</v>
      </c>
      <c r="M6">
        <f t="shared" ca="1" si="2"/>
        <v>0</v>
      </c>
      <c r="N6" s="165">
        <f t="shared" ca="1" si="3"/>
        <v>0</v>
      </c>
      <c r="O6" s="166" t="str">
        <f>General!$B$1</f>
        <v>200504_P1_HL_ncov2019_Pool1</v>
      </c>
      <c r="P6" t="e">
        <f ca="1">OFFSET('UV quantification'!$B$36,MOD(ROW('UV quantification'!B39)-ROW('UV quantification'!$B$36),8),QUOTIENT(ROW('UV quantification'!B39)-ROW('UV quantification'!$B$36),8))</f>
        <v>#DIV/0!</v>
      </c>
      <c r="Q6" t="e">
        <f ca="1">OFFSET('UV quantification'!$B$26,MOD(ROW('UV quantification'!B39)-ROW('UV quantification'!$B$36),8),QUOTIENT(ROW('UV quantification'!B39)-ROW('UV quantification'!$B$36),8))</f>
        <v>#DIV/0!</v>
      </c>
      <c r="R6">
        <f ca="1">OFFSET('OP2'!$B$30,MOD(ROW('UV quantification'!B39)-ROW('UV quantification'!$B$36),8),QUOTIENT(ROW('UV quantification'!B39)-ROW('UV quantification'!$B$36),8))</f>
        <v>0</v>
      </c>
      <c r="T6" s="165"/>
    </row>
    <row r="7" spans="1:20" x14ac:dyDescent="0.35">
      <c r="A7" s="39" t="s">
        <v>436</v>
      </c>
      <c r="B7">
        <v>5</v>
      </c>
      <c r="C7" t="s">
        <v>437</v>
      </c>
      <c r="D7" t="str">
        <f ca="1">OFFSET(Syntheses!$B$19,MOD(ROW('UV quantification'!B40)-ROW('UV quantification'!$B$36),8),QUOTIENT(ROW('UV quantification'!B40)-ROW('UV quantification'!$B$36),8))</f>
        <v>nCoV-2019_5_LEFT</v>
      </c>
      <c r="E7" t="str">
        <f ca="1">OFFSET(Syntheses!$B$8,MOD(ROW('UV quantification'!B40)-ROW('UV quantification'!$B$36),8),QUOTIENT(ROW('UV quantification'!B40)-ROW('UV quantification'!$B$36),8))</f>
        <v>TGGTGAAACTTCATGGCAGACG</v>
      </c>
      <c r="F7">
        <f t="shared" ca="1" si="0"/>
        <v>22</v>
      </c>
      <c r="G7">
        <v>1</v>
      </c>
      <c r="H7" t="s">
        <v>111</v>
      </c>
      <c r="I7" s="165" t="s">
        <v>429</v>
      </c>
      <c r="J7" s="39">
        <f t="shared" ca="1" si="1"/>
        <v>0</v>
      </c>
      <c r="K7">
        <f t="shared" ca="1" si="2"/>
        <v>0</v>
      </c>
      <c r="L7">
        <f t="shared" ca="1" si="2"/>
        <v>0</v>
      </c>
      <c r="M7">
        <f t="shared" ca="1" si="2"/>
        <v>0</v>
      </c>
      <c r="N7" s="165">
        <f t="shared" ca="1" si="3"/>
        <v>0</v>
      </c>
      <c r="O7" s="166" t="str">
        <f>General!$B$1</f>
        <v>200504_P1_HL_ncov2019_Pool1</v>
      </c>
      <c r="P7" t="e">
        <f ca="1">OFFSET('UV quantification'!$B$36,MOD(ROW('UV quantification'!B40)-ROW('UV quantification'!$B$36),8),QUOTIENT(ROW('UV quantification'!B40)-ROW('UV quantification'!$B$36),8))</f>
        <v>#DIV/0!</v>
      </c>
      <c r="Q7" t="e">
        <f ca="1">OFFSET('UV quantification'!$B$26,MOD(ROW('UV quantification'!B40)-ROW('UV quantification'!$B$36),8),QUOTIENT(ROW('UV quantification'!B40)-ROW('UV quantification'!$B$36),8))</f>
        <v>#DIV/0!</v>
      </c>
      <c r="R7">
        <f ca="1">OFFSET('OP2'!$B$30,MOD(ROW('UV quantification'!B40)-ROW('UV quantification'!$B$36),8),QUOTIENT(ROW('UV quantification'!B40)-ROW('UV quantification'!$B$36),8))</f>
        <v>0</v>
      </c>
      <c r="T7" s="165"/>
    </row>
    <row r="8" spans="1:20" x14ac:dyDescent="0.35">
      <c r="A8" s="39" t="s">
        <v>438</v>
      </c>
      <c r="B8">
        <v>6</v>
      </c>
      <c r="C8" t="s">
        <v>439</v>
      </c>
      <c r="D8" t="str">
        <f ca="1">OFFSET(Syntheses!$B$19,MOD(ROW('UV quantification'!B41)-ROW('UV quantification'!$B$36),8),QUOTIENT(ROW('UV quantification'!B41)-ROW('UV quantification'!$B$36),8))</f>
        <v>nCoV-2019_5_RIGHT</v>
      </c>
      <c r="E8" t="str">
        <f ca="1">OFFSET(Syntheses!$B$8,MOD(ROW('UV quantification'!B41)-ROW('UV quantification'!$B$36),8),QUOTIENT(ROW('UV quantification'!B41)-ROW('UV quantification'!$B$36),8))</f>
        <v>ATTGATGTTGACTTTCTCTTTTTGGAGT</v>
      </c>
      <c r="F8">
        <f t="shared" ca="1" si="0"/>
        <v>28</v>
      </c>
      <c r="G8">
        <v>1</v>
      </c>
      <c r="H8" t="s">
        <v>124</v>
      </c>
      <c r="I8" s="165" t="s">
        <v>429</v>
      </c>
      <c r="J8" s="39">
        <f t="shared" ca="1" si="1"/>
        <v>0</v>
      </c>
      <c r="K8">
        <f t="shared" ca="1" si="2"/>
        <v>0</v>
      </c>
      <c r="L8">
        <f t="shared" ca="1" si="2"/>
        <v>0</v>
      </c>
      <c r="M8">
        <f t="shared" ca="1" si="2"/>
        <v>0</v>
      </c>
      <c r="N8" s="165">
        <f t="shared" ca="1" si="3"/>
        <v>0</v>
      </c>
      <c r="O8" s="166" t="str">
        <f>General!$B$1</f>
        <v>200504_P1_HL_ncov2019_Pool1</v>
      </c>
      <c r="P8" t="e">
        <f ca="1">OFFSET('UV quantification'!$B$36,MOD(ROW('UV quantification'!B41)-ROW('UV quantification'!$B$36),8),QUOTIENT(ROW('UV quantification'!B41)-ROW('UV quantification'!$B$36),8))</f>
        <v>#DIV/0!</v>
      </c>
      <c r="Q8" t="e">
        <f ca="1">OFFSET('UV quantification'!$B$26,MOD(ROW('UV quantification'!B41)-ROW('UV quantification'!$B$36),8),QUOTIENT(ROW('UV quantification'!B41)-ROW('UV quantification'!$B$36),8))</f>
        <v>#DIV/0!</v>
      </c>
      <c r="R8">
        <f ca="1">OFFSET('OP2'!$B$30,MOD(ROW('UV quantification'!B41)-ROW('UV quantification'!$B$36),8),QUOTIENT(ROW('UV quantification'!B41)-ROW('UV quantification'!$B$36),8))</f>
        <v>0</v>
      </c>
      <c r="T8" s="165"/>
    </row>
    <row r="9" spans="1:20" x14ac:dyDescent="0.35">
      <c r="A9" s="39" t="s">
        <v>440</v>
      </c>
      <c r="B9">
        <v>7</v>
      </c>
      <c r="C9" t="s">
        <v>441</v>
      </c>
      <c r="D9" t="str">
        <f ca="1">OFFSET(Syntheses!$B$19,MOD(ROW('UV quantification'!B42)-ROW('UV quantification'!$B$36),8),QUOTIENT(ROW('UV quantification'!B42)-ROW('UV quantification'!$B$36),8))</f>
        <v>nCoV-2019_7_LEFT</v>
      </c>
      <c r="E9" t="str">
        <f ca="1">OFFSET(Syntheses!$B$8,MOD(ROW('UV quantification'!B42)-ROW('UV quantification'!$B$36),8),QUOTIENT(ROW('UV quantification'!B42)-ROW('UV quantification'!$B$36),8))</f>
        <v>ATCAGAGGCTGCTCGTGTTGTA</v>
      </c>
      <c r="F9">
        <f t="shared" ca="1" si="0"/>
        <v>22</v>
      </c>
      <c r="G9">
        <v>1</v>
      </c>
      <c r="H9" t="s">
        <v>137</v>
      </c>
      <c r="I9" s="165" t="s">
        <v>429</v>
      </c>
      <c r="J9" s="39">
        <f t="shared" ca="1" si="1"/>
        <v>0</v>
      </c>
      <c r="K9">
        <f t="shared" ca="1" si="2"/>
        <v>0</v>
      </c>
      <c r="L9">
        <f t="shared" ca="1" si="2"/>
        <v>0</v>
      </c>
      <c r="M9">
        <f t="shared" ca="1" si="2"/>
        <v>0</v>
      </c>
      <c r="N9" s="165">
        <f t="shared" ca="1" si="3"/>
        <v>0</v>
      </c>
      <c r="O9" s="166" t="str">
        <f>General!$B$1</f>
        <v>200504_P1_HL_ncov2019_Pool1</v>
      </c>
      <c r="P9" t="e">
        <f ca="1">OFFSET('UV quantification'!$B$36,MOD(ROW('UV quantification'!B42)-ROW('UV quantification'!$B$36),8),QUOTIENT(ROW('UV quantification'!B42)-ROW('UV quantification'!$B$36),8))</f>
        <v>#DIV/0!</v>
      </c>
      <c r="Q9" t="e">
        <f ca="1">OFFSET('UV quantification'!$B$26,MOD(ROW('UV quantification'!B42)-ROW('UV quantification'!$B$36),8),QUOTIENT(ROW('UV quantification'!B42)-ROW('UV quantification'!$B$36),8))</f>
        <v>#DIV/0!</v>
      </c>
      <c r="R9">
        <f ca="1">OFFSET('OP2'!$B$30,MOD(ROW('UV quantification'!B42)-ROW('UV quantification'!$B$36),8),QUOTIENT(ROW('UV quantification'!B42)-ROW('UV quantification'!$B$36),8))</f>
        <v>0</v>
      </c>
      <c r="T9" s="165"/>
    </row>
    <row r="10" spans="1:20" x14ac:dyDescent="0.35">
      <c r="A10" s="39" t="s">
        <v>442</v>
      </c>
      <c r="B10">
        <v>8</v>
      </c>
      <c r="C10" t="s">
        <v>321</v>
      </c>
      <c r="D10" t="str">
        <f ca="1">OFFSET(Syntheses!$B$19,MOD(ROW('UV quantification'!B43)-ROW('UV quantification'!$B$36),8),QUOTIENT(ROW('UV quantification'!B43)-ROW('UV quantification'!$B$36),8))</f>
        <v>nCoV-2019_7_LEFT_alt0</v>
      </c>
      <c r="E10" t="str">
        <f ca="1">OFFSET(Syntheses!$B$8,MOD(ROW('UV quantification'!B43)-ROW('UV quantification'!$B$36),8),QUOTIENT(ROW('UV quantification'!B43)-ROW('UV quantification'!$B$36),8))</f>
        <v>CATTTGCATCAGAGGCTGCTCG</v>
      </c>
      <c r="F10">
        <f t="shared" ca="1" si="0"/>
        <v>22</v>
      </c>
      <c r="G10">
        <v>1</v>
      </c>
      <c r="H10" t="s">
        <v>150</v>
      </c>
      <c r="I10" s="165" t="s">
        <v>429</v>
      </c>
      <c r="J10" s="39">
        <f t="shared" ca="1" si="1"/>
        <v>0</v>
      </c>
      <c r="K10">
        <f t="shared" ca="1" si="2"/>
        <v>0</v>
      </c>
      <c r="L10">
        <f t="shared" ca="1" si="2"/>
        <v>0</v>
      </c>
      <c r="M10">
        <f t="shared" ca="1" si="2"/>
        <v>0</v>
      </c>
      <c r="N10" s="165">
        <f t="shared" ca="1" si="3"/>
        <v>0</v>
      </c>
      <c r="O10" s="166" t="str">
        <f>General!$B$1</f>
        <v>200504_P1_HL_ncov2019_Pool1</v>
      </c>
      <c r="P10" t="e">
        <f ca="1">OFFSET('UV quantification'!$B$36,MOD(ROW('UV quantification'!B43)-ROW('UV quantification'!$B$36),8),QUOTIENT(ROW('UV quantification'!B43)-ROW('UV quantification'!$B$36),8))</f>
        <v>#DIV/0!</v>
      </c>
      <c r="Q10" t="e">
        <f ca="1">OFFSET('UV quantification'!$B$26,MOD(ROW('UV quantification'!B43)-ROW('UV quantification'!$B$36),8),QUOTIENT(ROW('UV quantification'!B43)-ROW('UV quantification'!$B$36),8))</f>
        <v>#DIV/0!</v>
      </c>
      <c r="R10">
        <f ca="1">OFFSET('OP2'!$B$30,MOD(ROW('UV quantification'!B43)-ROW('UV quantification'!$B$36),8),QUOTIENT(ROW('UV quantification'!B43)-ROW('UV quantification'!$B$36),8))</f>
        <v>0</v>
      </c>
      <c r="T10" s="165"/>
    </row>
    <row r="11" spans="1:20" x14ac:dyDescent="0.35">
      <c r="A11" s="39" t="s">
        <v>443</v>
      </c>
      <c r="B11">
        <v>9</v>
      </c>
      <c r="C11" t="s">
        <v>444</v>
      </c>
      <c r="D11" t="str">
        <f ca="1">OFFSET(Syntheses!$B$19,MOD(ROW('UV quantification'!B44)-ROW('UV quantification'!$B$36),8),QUOTIENT(ROW('UV quantification'!B44)-ROW('UV quantification'!$B$36),8))</f>
        <v>nCoV-2019_7_RIGHT</v>
      </c>
      <c r="E11" t="str">
        <f ca="1">OFFSET(Syntheses!$B$8,MOD(ROW('UV quantification'!B44)-ROW('UV quantification'!$B$36),8),QUOTIENT(ROW('UV quantification'!B44)-ROW('UV quantification'!$B$36),8))</f>
        <v>TGCACAGGTGACAATTTGTCCA</v>
      </c>
      <c r="F11">
        <f t="shared" ca="1" si="0"/>
        <v>22</v>
      </c>
      <c r="G11">
        <v>1</v>
      </c>
      <c r="H11" t="s">
        <v>59</v>
      </c>
      <c r="I11" s="165" t="s">
        <v>445</v>
      </c>
      <c r="J11" s="39">
        <f t="shared" ca="1" si="1"/>
        <v>0</v>
      </c>
      <c r="K11">
        <f t="shared" ca="1" si="2"/>
        <v>0</v>
      </c>
      <c r="L11">
        <f t="shared" ca="1" si="2"/>
        <v>0</v>
      </c>
      <c r="M11">
        <f t="shared" ca="1" si="2"/>
        <v>0</v>
      </c>
      <c r="N11" s="165">
        <f t="shared" ca="1" si="3"/>
        <v>0</v>
      </c>
      <c r="O11" s="166" t="str">
        <f>General!$B$1</f>
        <v>200504_P1_HL_ncov2019_Pool1</v>
      </c>
      <c r="P11" t="e">
        <f ca="1">OFFSET('UV quantification'!$B$36,MOD(ROW('UV quantification'!B44)-ROW('UV quantification'!$B$36),8),QUOTIENT(ROW('UV quantification'!B44)-ROW('UV quantification'!$B$36),8))</f>
        <v>#DIV/0!</v>
      </c>
      <c r="Q11" t="e">
        <f ca="1">OFFSET('UV quantification'!$B$26,MOD(ROW('UV quantification'!B44)-ROW('UV quantification'!$B$36),8),QUOTIENT(ROW('UV quantification'!B44)-ROW('UV quantification'!$B$36),8))</f>
        <v>#DIV/0!</v>
      </c>
      <c r="R11">
        <f ca="1">OFFSET('OP2'!$B$30,MOD(ROW('UV quantification'!B44)-ROW('UV quantification'!$B$36),8),QUOTIENT(ROW('UV quantification'!B44)-ROW('UV quantification'!$B$36),8))</f>
        <v>0</v>
      </c>
      <c r="T11" s="165"/>
    </row>
    <row r="12" spans="1:20" x14ac:dyDescent="0.35">
      <c r="A12" s="39" t="s">
        <v>446</v>
      </c>
      <c r="B12">
        <v>10</v>
      </c>
      <c r="C12" t="s">
        <v>447</v>
      </c>
      <c r="D12" t="str">
        <f ca="1">OFFSET(Syntheses!$B$19,MOD(ROW('UV quantification'!B45)-ROW('UV quantification'!$B$36),8),QUOTIENT(ROW('UV quantification'!B45)-ROW('UV quantification'!$B$36),8))</f>
        <v>nCoV-2019_7_RIGHT_alt5</v>
      </c>
      <c r="E12" t="str">
        <f ca="1">OFFSET(Syntheses!$B$8,MOD(ROW('UV quantification'!B45)-ROW('UV quantification'!$B$36),8),QUOTIENT(ROW('UV quantification'!B45)-ROW('UV quantification'!$B$36),8))</f>
        <v>AGGTGACAATTTGTCCACCGAC</v>
      </c>
      <c r="F12">
        <f t="shared" ca="1" si="0"/>
        <v>22</v>
      </c>
      <c r="G12">
        <v>1</v>
      </c>
      <c r="H12" t="s">
        <v>72</v>
      </c>
      <c r="I12" s="165" t="s">
        <v>445</v>
      </c>
      <c r="J12" s="39">
        <f t="shared" ca="1" si="1"/>
        <v>0</v>
      </c>
      <c r="K12">
        <f t="shared" ca="1" si="2"/>
        <v>0</v>
      </c>
      <c r="L12">
        <f t="shared" ca="1" si="2"/>
        <v>0</v>
      </c>
      <c r="M12">
        <f t="shared" ca="1" si="2"/>
        <v>0</v>
      </c>
      <c r="N12" s="165">
        <f t="shared" ca="1" si="3"/>
        <v>0</v>
      </c>
      <c r="O12" s="166" t="str">
        <f>General!$B$1</f>
        <v>200504_P1_HL_ncov2019_Pool1</v>
      </c>
      <c r="P12" t="e">
        <f ca="1">OFFSET('UV quantification'!$B$36,MOD(ROW('UV quantification'!B45)-ROW('UV quantification'!$B$36),8),QUOTIENT(ROW('UV quantification'!B45)-ROW('UV quantification'!$B$36),8))</f>
        <v>#DIV/0!</v>
      </c>
      <c r="Q12" t="e">
        <f ca="1">OFFSET('UV quantification'!$B$26,MOD(ROW('UV quantification'!B45)-ROW('UV quantification'!$B$36),8),QUOTIENT(ROW('UV quantification'!B45)-ROW('UV quantification'!$B$36),8))</f>
        <v>#DIV/0!</v>
      </c>
      <c r="R12">
        <f ca="1">OFFSET('OP2'!$B$30,MOD(ROW('UV quantification'!B45)-ROW('UV quantification'!$B$36),8),QUOTIENT(ROW('UV quantification'!B45)-ROW('UV quantification'!$B$36),8))</f>
        <v>0</v>
      </c>
      <c r="T12" s="165"/>
    </row>
    <row r="13" spans="1:20" x14ac:dyDescent="0.35">
      <c r="A13" s="39" t="s">
        <v>448</v>
      </c>
      <c r="B13">
        <v>11</v>
      </c>
      <c r="C13" t="s">
        <v>449</v>
      </c>
      <c r="D13" t="str">
        <f ca="1">OFFSET(Syntheses!$B$19,MOD(ROW('UV quantification'!B46)-ROW('UV quantification'!$B$36),8),QUOTIENT(ROW('UV quantification'!B46)-ROW('UV quantification'!$B$36),8))</f>
        <v>nCoV-2019_9_LEFT</v>
      </c>
      <c r="E13" t="str">
        <f ca="1">OFFSET(Syntheses!$B$8,MOD(ROW('UV quantification'!B46)-ROW('UV quantification'!$B$36),8),QUOTIENT(ROW('UV quantification'!B46)-ROW('UV quantification'!$B$36),8))</f>
        <v>TCCCACAGAAGTGTTAACAGAGGA</v>
      </c>
      <c r="F13">
        <f t="shared" ca="1" si="0"/>
        <v>24</v>
      </c>
      <c r="G13">
        <v>1</v>
      </c>
      <c r="H13" t="s">
        <v>85</v>
      </c>
      <c r="I13" s="165" t="s">
        <v>445</v>
      </c>
      <c r="J13" s="39">
        <f t="shared" ca="1" si="1"/>
        <v>1</v>
      </c>
      <c r="K13">
        <f t="shared" ca="1" si="2"/>
        <v>0</v>
      </c>
      <c r="L13">
        <f t="shared" ca="1" si="2"/>
        <v>0</v>
      </c>
      <c r="M13">
        <f t="shared" ca="1" si="2"/>
        <v>1</v>
      </c>
      <c r="N13" s="165">
        <f t="shared" ca="1" si="3"/>
        <v>0</v>
      </c>
      <c r="O13" s="166" t="str">
        <f>General!$B$1</f>
        <v>200504_P1_HL_ncov2019_Pool1</v>
      </c>
      <c r="P13" t="e">
        <f ca="1">OFFSET('UV quantification'!$B$36,MOD(ROW('UV quantification'!B46)-ROW('UV quantification'!$B$36),8),QUOTIENT(ROW('UV quantification'!B46)-ROW('UV quantification'!$B$36),8))</f>
        <v>#DIV/0!</v>
      </c>
      <c r="Q13" t="e">
        <f ca="1">OFFSET('UV quantification'!$B$26,MOD(ROW('UV quantification'!B46)-ROW('UV quantification'!$B$36),8),QUOTIENT(ROW('UV quantification'!B46)-ROW('UV quantification'!$B$36),8))</f>
        <v>#DIV/0!</v>
      </c>
      <c r="R13">
        <f ca="1">OFFSET('OP2'!$B$30,MOD(ROW('UV quantification'!B46)-ROW('UV quantification'!$B$36),8),QUOTIENT(ROW('UV quantification'!B46)-ROW('UV quantification'!$B$36),8))</f>
        <v>0</v>
      </c>
      <c r="T13" s="165"/>
    </row>
    <row r="14" spans="1:20" x14ac:dyDescent="0.35">
      <c r="A14" s="39" t="s">
        <v>450</v>
      </c>
      <c r="B14">
        <v>12</v>
      </c>
      <c r="C14" t="s">
        <v>451</v>
      </c>
      <c r="D14" t="str">
        <f ca="1">OFFSET(Syntheses!$B$19,MOD(ROW('UV quantification'!B47)-ROW('UV quantification'!$B$36),8),QUOTIENT(ROW('UV quantification'!B47)-ROW('UV quantification'!$B$36),8))</f>
        <v>nCoV-2019_9_LEFT_alt4</v>
      </c>
      <c r="E14" t="str">
        <f ca="1">OFFSET(Syntheses!$B$8,MOD(ROW('UV quantification'!B47)-ROW('UV quantification'!$B$36),8),QUOTIENT(ROW('UV quantification'!B47)-ROW('UV quantification'!$B$36),8))</f>
        <v>TTCCCACAGAAGTGTTAACAGAGG</v>
      </c>
      <c r="F14">
        <f t="shared" ca="1" si="0"/>
        <v>24</v>
      </c>
      <c r="G14">
        <v>1</v>
      </c>
      <c r="H14" t="s">
        <v>98</v>
      </c>
      <c r="I14" s="165" t="s">
        <v>445</v>
      </c>
      <c r="J14" s="39">
        <f t="shared" ca="1" si="1"/>
        <v>1</v>
      </c>
      <c r="K14">
        <f t="shared" ca="1" si="2"/>
        <v>0</v>
      </c>
      <c r="L14">
        <f t="shared" ca="1" si="2"/>
        <v>0</v>
      </c>
      <c r="M14">
        <f t="shared" ca="1" si="2"/>
        <v>1</v>
      </c>
      <c r="N14" s="165">
        <f t="shared" ca="1" si="3"/>
        <v>0</v>
      </c>
      <c r="O14" s="166" t="str">
        <f>General!$B$1</f>
        <v>200504_P1_HL_ncov2019_Pool1</v>
      </c>
      <c r="P14" t="e">
        <f ca="1">OFFSET('UV quantification'!$B$36,MOD(ROW('UV quantification'!B47)-ROW('UV quantification'!$B$36),8),QUOTIENT(ROW('UV quantification'!B47)-ROW('UV quantification'!$B$36),8))</f>
        <v>#DIV/0!</v>
      </c>
      <c r="Q14" t="e">
        <f ca="1">OFFSET('UV quantification'!$B$26,MOD(ROW('UV quantification'!B47)-ROW('UV quantification'!$B$36),8),QUOTIENT(ROW('UV quantification'!B47)-ROW('UV quantification'!$B$36),8))</f>
        <v>#DIV/0!</v>
      </c>
      <c r="R14">
        <f ca="1">OFFSET('OP2'!$B$30,MOD(ROW('UV quantification'!B47)-ROW('UV quantification'!$B$36),8),QUOTIENT(ROW('UV quantification'!B47)-ROW('UV quantification'!$B$36),8))</f>
        <v>0</v>
      </c>
      <c r="T14" s="165"/>
    </row>
    <row r="15" spans="1:20" x14ac:dyDescent="0.35">
      <c r="A15" s="39" t="s">
        <v>452</v>
      </c>
      <c r="B15">
        <v>13</v>
      </c>
      <c r="C15" t="s">
        <v>453</v>
      </c>
      <c r="D15" t="str">
        <f ca="1">OFFSET(Syntheses!$B$19,MOD(ROW('UV quantification'!B48)-ROW('UV quantification'!$B$36),8),QUOTIENT(ROW('UV quantification'!B48)-ROW('UV quantification'!$B$36),8))</f>
        <v>nCoV-2019_9_RIGHT</v>
      </c>
      <c r="E15" t="str">
        <f ca="1">OFFSET(Syntheses!$B$8,MOD(ROW('UV quantification'!B48)-ROW('UV quantification'!$B$36),8),QUOTIENT(ROW('UV quantification'!B48)-ROW('UV quantification'!$B$36),8))</f>
        <v>ATGACAGCATCTGCCACAACAC</v>
      </c>
      <c r="F15">
        <f t="shared" ca="1" si="0"/>
        <v>22</v>
      </c>
      <c r="G15">
        <v>1</v>
      </c>
      <c r="H15" t="s">
        <v>111</v>
      </c>
      <c r="I15" s="165" t="s">
        <v>445</v>
      </c>
      <c r="J15" s="39">
        <f t="shared" ca="1" si="1"/>
        <v>0</v>
      </c>
      <c r="K15">
        <f t="shared" ca="1" si="2"/>
        <v>0</v>
      </c>
      <c r="L15">
        <f t="shared" ca="1" si="2"/>
        <v>0</v>
      </c>
      <c r="M15">
        <f t="shared" ca="1" si="2"/>
        <v>0</v>
      </c>
      <c r="N15" s="165">
        <f t="shared" ca="1" si="3"/>
        <v>0</v>
      </c>
      <c r="O15" s="166" t="str">
        <f>General!$B$1</f>
        <v>200504_P1_HL_ncov2019_Pool1</v>
      </c>
      <c r="P15" t="e">
        <f ca="1">OFFSET('UV quantification'!$B$36,MOD(ROW('UV quantification'!B48)-ROW('UV quantification'!$B$36),8),QUOTIENT(ROW('UV quantification'!B48)-ROW('UV quantification'!$B$36),8))</f>
        <v>#DIV/0!</v>
      </c>
      <c r="Q15" t="e">
        <f ca="1">OFFSET('UV quantification'!$B$26,MOD(ROW('UV quantification'!B48)-ROW('UV quantification'!$B$36),8),QUOTIENT(ROW('UV quantification'!B48)-ROW('UV quantification'!$B$36),8))</f>
        <v>#DIV/0!</v>
      </c>
      <c r="R15">
        <f ca="1">OFFSET('OP2'!$B$30,MOD(ROW('UV quantification'!B48)-ROW('UV quantification'!$B$36),8),QUOTIENT(ROW('UV quantification'!B48)-ROW('UV quantification'!$B$36),8))</f>
        <v>0</v>
      </c>
      <c r="T15" s="165"/>
    </row>
    <row r="16" spans="1:20" x14ac:dyDescent="0.35">
      <c r="A16" s="39" t="s">
        <v>454</v>
      </c>
      <c r="B16">
        <v>14</v>
      </c>
      <c r="C16" t="s">
        <v>455</v>
      </c>
      <c r="D16" t="str">
        <f ca="1">OFFSET(Syntheses!$B$19,MOD(ROW('UV quantification'!B49)-ROW('UV quantification'!$B$36),8),QUOTIENT(ROW('UV quantification'!B49)-ROW('UV quantification'!$B$36),8))</f>
        <v>nCoV-2019_9_RIGHT_alt2</v>
      </c>
      <c r="E16" t="str">
        <f ca="1">OFFSET(Syntheses!$B$8,MOD(ROW('UV quantification'!B49)-ROW('UV quantification'!$B$36),8),QUOTIENT(ROW('UV quantification'!B49)-ROW('UV quantification'!$B$36),8))</f>
        <v>GACAGCATCTGCCACAACACAG</v>
      </c>
      <c r="F16">
        <f t="shared" ca="1" si="0"/>
        <v>22</v>
      </c>
      <c r="G16">
        <v>1</v>
      </c>
      <c r="H16" t="s">
        <v>124</v>
      </c>
      <c r="I16" s="165" t="s">
        <v>445</v>
      </c>
      <c r="J16" s="39">
        <f t="shared" ca="1" si="1"/>
        <v>0</v>
      </c>
      <c r="K16">
        <f t="shared" ca="1" si="2"/>
        <v>0</v>
      </c>
      <c r="L16">
        <f t="shared" ca="1" si="2"/>
        <v>0</v>
      </c>
      <c r="M16">
        <f t="shared" ca="1" si="2"/>
        <v>0</v>
      </c>
      <c r="N16" s="165">
        <f t="shared" ca="1" si="3"/>
        <v>0</v>
      </c>
      <c r="O16" s="166" t="str">
        <f>General!$B$1</f>
        <v>200504_P1_HL_ncov2019_Pool1</v>
      </c>
      <c r="P16" t="e">
        <f ca="1">OFFSET('UV quantification'!$B$36,MOD(ROW('UV quantification'!B49)-ROW('UV quantification'!$B$36),8),QUOTIENT(ROW('UV quantification'!B49)-ROW('UV quantification'!$B$36),8))</f>
        <v>#DIV/0!</v>
      </c>
      <c r="Q16" t="e">
        <f ca="1">OFFSET('UV quantification'!$B$26,MOD(ROW('UV quantification'!B49)-ROW('UV quantification'!$B$36),8),QUOTIENT(ROW('UV quantification'!B49)-ROW('UV quantification'!$B$36),8))</f>
        <v>#DIV/0!</v>
      </c>
      <c r="R16">
        <f ca="1">OFFSET('OP2'!$B$30,MOD(ROW('UV quantification'!B49)-ROW('UV quantification'!$B$36),8),QUOTIENT(ROW('UV quantification'!B49)-ROW('UV quantification'!$B$36),8))</f>
        <v>0</v>
      </c>
      <c r="T16" s="165"/>
    </row>
    <row r="17" spans="1:20" x14ac:dyDescent="0.35">
      <c r="A17" s="39" t="s">
        <v>456</v>
      </c>
      <c r="B17">
        <v>15</v>
      </c>
      <c r="C17" t="s">
        <v>457</v>
      </c>
      <c r="D17" t="str">
        <f ca="1">OFFSET(Syntheses!$B$19,MOD(ROW('UV quantification'!B50)-ROW('UV quantification'!$B$36),8),QUOTIENT(ROW('UV quantification'!B50)-ROW('UV quantification'!$B$36),8))</f>
        <v>nCoV-2019_11_LEFT</v>
      </c>
      <c r="E17" t="str">
        <f ca="1">OFFSET(Syntheses!$B$8,MOD(ROW('UV quantification'!B50)-ROW('UV quantification'!$B$36),8),QUOTIENT(ROW('UV quantification'!B50)-ROW('UV quantification'!$B$36),8))</f>
        <v>GGAATTTGGTGCCACTTCTGCT</v>
      </c>
      <c r="F17">
        <f t="shared" ca="1" si="0"/>
        <v>22</v>
      </c>
      <c r="G17">
        <v>1</v>
      </c>
      <c r="H17" t="s">
        <v>137</v>
      </c>
      <c r="I17" s="165" t="s">
        <v>445</v>
      </c>
      <c r="J17" s="39">
        <f t="shared" ca="1" si="1"/>
        <v>0</v>
      </c>
      <c r="K17">
        <f t="shared" ca="1" si="2"/>
        <v>0</v>
      </c>
      <c r="L17">
        <f t="shared" ca="1" si="2"/>
        <v>0</v>
      </c>
      <c r="M17">
        <f t="shared" ca="1" si="2"/>
        <v>0</v>
      </c>
      <c r="N17" s="165">
        <f t="shared" ca="1" si="3"/>
        <v>0</v>
      </c>
      <c r="O17" s="166" t="str">
        <f>General!$B$1</f>
        <v>200504_P1_HL_ncov2019_Pool1</v>
      </c>
      <c r="P17" t="e">
        <f ca="1">OFFSET('UV quantification'!$B$36,MOD(ROW('UV quantification'!B50)-ROW('UV quantification'!$B$36),8),QUOTIENT(ROW('UV quantification'!B50)-ROW('UV quantification'!$B$36),8))</f>
        <v>#DIV/0!</v>
      </c>
      <c r="Q17" t="e">
        <f ca="1">OFFSET('UV quantification'!$B$26,MOD(ROW('UV quantification'!B50)-ROW('UV quantification'!$B$36),8),QUOTIENT(ROW('UV quantification'!B50)-ROW('UV quantification'!$B$36),8))</f>
        <v>#DIV/0!</v>
      </c>
      <c r="R17">
        <f ca="1">OFFSET('OP2'!$B$30,MOD(ROW('UV quantification'!B50)-ROW('UV quantification'!$B$36),8),QUOTIENT(ROW('UV quantification'!B50)-ROW('UV quantification'!$B$36),8))</f>
        <v>0</v>
      </c>
      <c r="T17" s="165"/>
    </row>
    <row r="18" spans="1:20" x14ac:dyDescent="0.35">
      <c r="A18" s="39" t="s">
        <v>458</v>
      </c>
      <c r="B18">
        <v>16</v>
      </c>
      <c r="C18" t="s">
        <v>459</v>
      </c>
      <c r="D18" t="str">
        <f ca="1">OFFSET(Syntheses!$B$19,MOD(ROW('UV quantification'!B51)-ROW('UV quantification'!$B$36),8),QUOTIENT(ROW('UV quantification'!B51)-ROW('UV quantification'!$B$36),8))</f>
        <v>nCoV-2019_11_RIGHT</v>
      </c>
      <c r="E18" t="str">
        <f ca="1">OFFSET(Syntheses!$B$8,MOD(ROW('UV quantification'!B51)-ROW('UV quantification'!$B$36),8),QUOTIENT(ROW('UV quantification'!B51)-ROW('UV quantification'!$B$36),8))</f>
        <v>TCATCAGATTCAACTTGCATGGCA</v>
      </c>
      <c r="F18">
        <f t="shared" ca="1" si="0"/>
        <v>24</v>
      </c>
      <c r="G18">
        <v>1</v>
      </c>
      <c r="H18" t="s">
        <v>150</v>
      </c>
      <c r="I18" s="165" t="s">
        <v>445</v>
      </c>
      <c r="J18" s="39">
        <f t="shared" ca="1" si="1"/>
        <v>0</v>
      </c>
      <c r="K18">
        <f t="shared" ca="1" si="2"/>
        <v>0</v>
      </c>
      <c r="L18">
        <f t="shared" ca="1" si="2"/>
        <v>0</v>
      </c>
      <c r="M18">
        <f t="shared" ca="1" si="2"/>
        <v>0</v>
      </c>
      <c r="N18" s="165">
        <f t="shared" ca="1" si="3"/>
        <v>0</v>
      </c>
      <c r="O18" s="166" t="str">
        <f>General!$B$1</f>
        <v>200504_P1_HL_ncov2019_Pool1</v>
      </c>
      <c r="P18" t="e">
        <f ca="1">OFFSET('UV quantification'!$B$36,MOD(ROW('UV quantification'!B51)-ROW('UV quantification'!$B$36),8),QUOTIENT(ROW('UV quantification'!B51)-ROW('UV quantification'!$B$36),8))</f>
        <v>#DIV/0!</v>
      </c>
      <c r="Q18" t="e">
        <f ca="1">OFFSET('UV quantification'!$B$26,MOD(ROW('UV quantification'!B51)-ROW('UV quantification'!$B$36),8),QUOTIENT(ROW('UV quantification'!B51)-ROW('UV quantification'!$B$36),8))</f>
        <v>#DIV/0!</v>
      </c>
      <c r="R18">
        <f ca="1">OFFSET('OP2'!$B$30,MOD(ROW('UV quantification'!B51)-ROW('UV quantification'!$B$36),8),QUOTIENT(ROW('UV quantification'!B51)-ROW('UV quantification'!$B$36),8))</f>
        <v>0</v>
      </c>
      <c r="T18" s="165"/>
    </row>
    <row r="19" spans="1:20" x14ac:dyDescent="0.35">
      <c r="A19" s="39" t="s">
        <v>460</v>
      </c>
      <c r="B19">
        <v>17</v>
      </c>
      <c r="C19" t="s">
        <v>461</v>
      </c>
      <c r="D19" t="str">
        <f ca="1">OFFSET(Syntheses!$B$19,MOD(ROW('UV quantification'!B52)-ROW('UV quantification'!$B$36),8),QUOTIENT(ROW('UV quantification'!B52)-ROW('UV quantification'!$B$36),8))</f>
        <v>nCoV-2019_13_LEFT</v>
      </c>
      <c r="E19" t="str">
        <f ca="1">OFFSET(Syntheses!$B$8,MOD(ROW('UV quantification'!B52)-ROW('UV quantification'!$B$36),8),QUOTIENT(ROW('UV quantification'!B52)-ROW('UV quantification'!$B$36),8))</f>
        <v>TCGCACAAATGTCTACTTAGCTGT</v>
      </c>
      <c r="F19">
        <f t="shared" ca="1" si="0"/>
        <v>24</v>
      </c>
      <c r="G19">
        <v>1</v>
      </c>
      <c r="H19" t="s">
        <v>59</v>
      </c>
      <c r="I19" s="165" t="s">
        <v>462</v>
      </c>
      <c r="J19" s="39">
        <f t="shared" ca="1" si="1"/>
        <v>0</v>
      </c>
      <c r="K19">
        <f t="shared" ca="1" si="2"/>
        <v>0</v>
      </c>
      <c r="L19">
        <f t="shared" ca="1" si="2"/>
        <v>0</v>
      </c>
      <c r="M19">
        <f t="shared" ca="1" si="2"/>
        <v>0</v>
      </c>
      <c r="N19" s="165">
        <f t="shared" ca="1" si="3"/>
        <v>0</v>
      </c>
      <c r="O19" s="166" t="str">
        <f>General!$B$1</f>
        <v>200504_P1_HL_ncov2019_Pool1</v>
      </c>
      <c r="P19" t="e">
        <f ca="1">OFFSET('UV quantification'!$B$36,MOD(ROW('UV quantification'!B52)-ROW('UV quantification'!$B$36),8),QUOTIENT(ROW('UV quantification'!B52)-ROW('UV quantification'!$B$36),8))</f>
        <v>#DIV/0!</v>
      </c>
      <c r="Q19" t="e">
        <f ca="1">OFFSET('UV quantification'!$B$26,MOD(ROW('UV quantification'!B52)-ROW('UV quantification'!$B$36),8),QUOTIENT(ROW('UV quantification'!B52)-ROW('UV quantification'!$B$36),8))</f>
        <v>#DIV/0!</v>
      </c>
      <c r="R19">
        <f ca="1">OFFSET('OP2'!$B$30,MOD(ROW('UV quantification'!B52)-ROW('UV quantification'!$B$36),8),QUOTIENT(ROW('UV quantification'!B52)-ROW('UV quantification'!$B$36),8))</f>
        <v>0</v>
      </c>
      <c r="T19" s="165"/>
    </row>
    <row r="20" spans="1:20" x14ac:dyDescent="0.35">
      <c r="A20" s="39" t="s">
        <v>463</v>
      </c>
      <c r="B20">
        <v>18</v>
      </c>
      <c r="C20" t="s">
        <v>464</v>
      </c>
      <c r="D20" t="str">
        <f ca="1">OFFSET(Syntheses!$B$19,MOD(ROW('UV quantification'!B53)-ROW('UV quantification'!$B$36),8),QUOTIENT(ROW('UV quantification'!B53)-ROW('UV quantification'!$B$36),8))</f>
        <v>nCoV-2019_13_RIGHT</v>
      </c>
      <c r="E20" t="str">
        <f ca="1">OFFSET(Syntheses!$B$8,MOD(ROW('UV quantification'!B53)-ROW('UV quantification'!$B$36),8),QUOTIENT(ROW('UV quantification'!B53)-ROW('UV quantification'!$B$36),8))</f>
        <v>ACCACAGCAGTTAAAACACCCT</v>
      </c>
      <c r="F20">
        <f t="shared" ca="1" si="0"/>
        <v>22</v>
      </c>
      <c r="G20">
        <v>1</v>
      </c>
      <c r="H20" t="s">
        <v>72</v>
      </c>
      <c r="I20" s="165" t="s">
        <v>462</v>
      </c>
      <c r="J20" s="39">
        <f t="shared" ca="1" si="1"/>
        <v>0</v>
      </c>
      <c r="K20">
        <f t="shared" ca="1" si="2"/>
        <v>0</v>
      </c>
      <c r="L20">
        <f t="shared" ca="1" si="2"/>
        <v>0</v>
      </c>
      <c r="M20">
        <f t="shared" ca="1" si="2"/>
        <v>0</v>
      </c>
      <c r="N20" s="165">
        <f t="shared" ca="1" si="3"/>
        <v>0</v>
      </c>
      <c r="O20" s="166" t="str">
        <f>General!$B$1</f>
        <v>200504_P1_HL_ncov2019_Pool1</v>
      </c>
      <c r="P20" t="e">
        <f ca="1">OFFSET('UV quantification'!$B$36,MOD(ROW('UV quantification'!B53)-ROW('UV quantification'!$B$36),8),QUOTIENT(ROW('UV quantification'!B53)-ROW('UV quantification'!$B$36),8))</f>
        <v>#DIV/0!</v>
      </c>
      <c r="Q20" t="e">
        <f ca="1">OFFSET('UV quantification'!$B$26,MOD(ROW('UV quantification'!B53)-ROW('UV quantification'!$B$36),8),QUOTIENT(ROW('UV quantification'!B53)-ROW('UV quantification'!$B$36),8))</f>
        <v>#DIV/0!</v>
      </c>
      <c r="R20">
        <f ca="1">OFFSET('OP2'!$B$30,MOD(ROW('UV quantification'!B53)-ROW('UV quantification'!$B$36),8),QUOTIENT(ROW('UV quantification'!B53)-ROW('UV quantification'!$B$36),8))</f>
        <v>0</v>
      </c>
      <c r="T20" s="165"/>
    </row>
    <row r="21" spans="1:20" x14ac:dyDescent="0.35">
      <c r="A21" s="39" t="s">
        <v>465</v>
      </c>
      <c r="B21">
        <v>19</v>
      </c>
      <c r="C21" t="s">
        <v>466</v>
      </c>
      <c r="D21" t="str">
        <f ca="1">OFFSET(Syntheses!$B$19,MOD(ROW('UV quantification'!B54)-ROW('UV quantification'!$B$36),8),QUOTIENT(ROW('UV quantification'!B54)-ROW('UV quantification'!$B$36),8))</f>
        <v>nCoV-2019_15_LEFT</v>
      </c>
      <c r="E21" t="str">
        <f ca="1">OFFSET(Syntheses!$B$8,MOD(ROW('UV quantification'!B54)-ROW('UV quantification'!$B$36),8),QUOTIENT(ROW('UV quantification'!B54)-ROW('UV quantification'!$B$36),8))</f>
        <v>ACAGTGCTTAAAAAGTGTAAAAGTGCC</v>
      </c>
      <c r="F21">
        <f t="shared" ca="1" si="0"/>
        <v>27</v>
      </c>
      <c r="G21">
        <v>1</v>
      </c>
      <c r="H21" t="s">
        <v>85</v>
      </c>
      <c r="I21" s="165" t="s">
        <v>462</v>
      </c>
      <c r="J21" s="39">
        <f t="shared" ca="1" si="1"/>
        <v>0</v>
      </c>
      <c r="K21">
        <f t="shared" ca="1" si="2"/>
        <v>0</v>
      </c>
      <c r="L21">
        <f t="shared" ca="1" si="2"/>
        <v>0</v>
      </c>
      <c r="M21">
        <f t="shared" ca="1" si="2"/>
        <v>0</v>
      </c>
      <c r="N21" s="165">
        <f t="shared" ca="1" si="3"/>
        <v>0</v>
      </c>
      <c r="O21" s="166" t="str">
        <f>General!$B$1</f>
        <v>200504_P1_HL_ncov2019_Pool1</v>
      </c>
      <c r="P21" t="e">
        <f ca="1">OFFSET('UV quantification'!$B$36,MOD(ROW('UV quantification'!B54)-ROW('UV quantification'!$B$36),8),QUOTIENT(ROW('UV quantification'!B54)-ROW('UV quantification'!$B$36),8))</f>
        <v>#DIV/0!</v>
      </c>
      <c r="Q21" t="e">
        <f ca="1">OFFSET('UV quantification'!$B$26,MOD(ROW('UV quantification'!B54)-ROW('UV quantification'!$B$36),8),QUOTIENT(ROW('UV quantification'!B54)-ROW('UV quantification'!$B$36),8))</f>
        <v>#DIV/0!</v>
      </c>
      <c r="R21">
        <f ca="1">OFFSET('OP2'!$B$30,MOD(ROW('UV quantification'!B54)-ROW('UV quantification'!$B$36),8),QUOTIENT(ROW('UV quantification'!B54)-ROW('UV quantification'!$B$36),8))</f>
        <v>0</v>
      </c>
      <c r="T21" s="165"/>
    </row>
    <row r="22" spans="1:20" x14ac:dyDescent="0.35">
      <c r="A22" s="39" t="s">
        <v>467</v>
      </c>
      <c r="B22">
        <v>20</v>
      </c>
      <c r="C22" t="s">
        <v>468</v>
      </c>
      <c r="D22" t="str">
        <f ca="1">OFFSET(Syntheses!$B$19,MOD(ROW('UV quantification'!B55)-ROW('UV quantification'!$B$36),8),QUOTIENT(ROW('UV quantification'!B55)-ROW('UV quantification'!$B$36),8))</f>
        <v>nCoV-2019_15_LEFT_alt1</v>
      </c>
      <c r="E22" t="str">
        <f ca="1">OFFSET(Syntheses!$B$8,MOD(ROW('UV quantification'!B55)-ROW('UV quantification'!$B$36),8),QUOTIENT(ROW('UV quantification'!B55)-ROW('UV quantification'!$B$36),8))</f>
        <v>AGTGCTTAAAAAGTGTAAAAGTGCCT</v>
      </c>
      <c r="F22">
        <f t="shared" ca="1" si="0"/>
        <v>26</v>
      </c>
      <c r="G22">
        <v>1</v>
      </c>
      <c r="H22" t="s">
        <v>98</v>
      </c>
      <c r="I22" s="165" t="s">
        <v>462</v>
      </c>
      <c r="J22" s="39">
        <f t="shared" ca="1" si="1"/>
        <v>0</v>
      </c>
      <c r="K22">
        <f t="shared" ca="1" si="2"/>
        <v>0</v>
      </c>
      <c r="L22">
        <f t="shared" ca="1" si="2"/>
        <v>0</v>
      </c>
      <c r="M22">
        <f t="shared" ca="1" si="2"/>
        <v>0</v>
      </c>
      <c r="N22" s="165">
        <f t="shared" ca="1" si="3"/>
        <v>0</v>
      </c>
      <c r="O22" s="166" t="str">
        <f>General!$B$1</f>
        <v>200504_P1_HL_ncov2019_Pool1</v>
      </c>
      <c r="P22" t="e">
        <f ca="1">OFFSET('UV quantification'!$B$36,MOD(ROW('UV quantification'!B55)-ROW('UV quantification'!$B$36),8),QUOTIENT(ROW('UV quantification'!B55)-ROW('UV quantification'!$B$36),8))</f>
        <v>#DIV/0!</v>
      </c>
      <c r="Q22" t="e">
        <f ca="1">OFFSET('UV quantification'!$B$26,MOD(ROW('UV quantification'!B55)-ROW('UV quantification'!$B$36),8),QUOTIENT(ROW('UV quantification'!B55)-ROW('UV quantification'!$B$36),8))</f>
        <v>#DIV/0!</v>
      </c>
      <c r="R22">
        <f ca="1">OFFSET('OP2'!$B$30,MOD(ROW('UV quantification'!B55)-ROW('UV quantification'!$B$36),8),QUOTIENT(ROW('UV quantification'!B55)-ROW('UV quantification'!$B$36),8))</f>
        <v>0</v>
      </c>
      <c r="T22" s="165"/>
    </row>
    <row r="23" spans="1:20" x14ac:dyDescent="0.35">
      <c r="A23" s="39" t="s">
        <v>469</v>
      </c>
      <c r="B23">
        <v>21</v>
      </c>
      <c r="C23" t="s">
        <v>470</v>
      </c>
      <c r="D23" t="str">
        <f ca="1">OFFSET(Syntheses!$B$19,MOD(ROW('UV quantification'!B56)-ROW('UV quantification'!$B$36),8),QUOTIENT(ROW('UV quantification'!B56)-ROW('UV quantification'!$B$36),8))</f>
        <v>nCoV-2019_15_RIGHT</v>
      </c>
      <c r="E23" t="str">
        <f ca="1">OFFSET(Syntheses!$B$8,MOD(ROW('UV quantification'!B56)-ROW('UV quantification'!$B$36),8),QUOTIENT(ROW('UV quantification'!B56)-ROW('UV quantification'!$B$36),8))</f>
        <v>AACAGAAACTGTAGCTGGCACT</v>
      </c>
      <c r="F23">
        <f t="shared" ca="1" si="0"/>
        <v>22</v>
      </c>
      <c r="G23">
        <v>1</v>
      </c>
      <c r="H23" t="s">
        <v>111</v>
      </c>
      <c r="I23" s="165" t="s">
        <v>462</v>
      </c>
      <c r="J23" s="39">
        <f t="shared" ca="1" si="1"/>
        <v>0</v>
      </c>
      <c r="K23">
        <f t="shared" ref="K23:M42" ca="1" si="4">(LEN($E23)-LEN(SUBSTITUTE($E23,K$2,"")))/LEN(K$2)</f>
        <v>0</v>
      </c>
      <c r="L23">
        <f t="shared" ca="1" si="4"/>
        <v>0</v>
      </c>
      <c r="M23">
        <f t="shared" ca="1" si="4"/>
        <v>0</v>
      </c>
      <c r="N23" s="165">
        <f t="shared" ca="1" si="3"/>
        <v>0</v>
      </c>
      <c r="O23" s="166" t="str">
        <f>General!$B$1</f>
        <v>200504_P1_HL_ncov2019_Pool1</v>
      </c>
      <c r="P23" t="e">
        <f ca="1">OFFSET('UV quantification'!$B$36,MOD(ROW('UV quantification'!B56)-ROW('UV quantification'!$B$36),8),QUOTIENT(ROW('UV quantification'!B56)-ROW('UV quantification'!$B$36),8))</f>
        <v>#DIV/0!</v>
      </c>
      <c r="Q23" t="e">
        <f ca="1">OFFSET('UV quantification'!$B$26,MOD(ROW('UV quantification'!B56)-ROW('UV quantification'!$B$36),8),QUOTIENT(ROW('UV quantification'!B56)-ROW('UV quantification'!$B$36),8))</f>
        <v>#DIV/0!</v>
      </c>
      <c r="R23">
        <f ca="1">OFFSET('OP2'!$B$30,MOD(ROW('UV quantification'!B56)-ROW('UV quantification'!$B$36),8),QUOTIENT(ROW('UV quantification'!B56)-ROW('UV quantification'!$B$36),8))</f>
        <v>0</v>
      </c>
      <c r="T23" s="165"/>
    </row>
    <row r="24" spans="1:20" x14ac:dyDescent="0.35">
      <c r="A24" s="39" t="s">
        <v>471</v>
      </c>
      <c r="B24">
        <v>22</v>
      </c>
      <c r="C24" t="s">
        <v>472</v>
      </c>
      <c r="D24" t="str">
        <f ca="1">OFFSET(Syntheses!$B$19,MOD(ROW('UV quantification'!B57)-ROW('UV quantification'!$B$36),8),QUOTIENT(ROW('UV quantification'!B57)-ROW('UV quantification'!$B$36),8))</f>
        <v>nCoV-2019_15_RIGHT_alt3</v>
      </c>
      <c r="E24" t="str">
        <f ca="1">OFFSET(Syntheses!$B$8,MOD(ROW('UV quantification'!B57)-ROW('UV quantification'!$B$36),8),QUOTIENT(ROW('UV quantification'!B57)-ROW('UV quantification'!$B$36),8))</f>
        <v>ACTGTAGCTGGCACTTTGAGAGA</v>
      </c>
      <c r="F24">
        <f t="shared" ca="1" si="0"/>
        <v>23</v>
      </c>
      <c r="G24">
        <v>1</v>
      </c>
      <c r="H24" t="s">
        <v>124</v>
      </c>
      <c r="I24" s="165" t="s">
        <v>462</v>
      </c>
      <c r="J24" s="39">
        <f t="shared" ca="1" si="1"/>
        <v>0</v>
      </c>
      <c r="K24">
        <f t="shared" ca="1" si="4"/>
        <v>0</v>
      </c>
      <c r="L24">
        <f t="shared" ca="1" si="4"/>
        <v>0</v>
      </c>
      <c r="M24">
        <f t="shared" ca="1" si="4"/>
        <v>0</v>
      </c>
      <c r="N24" s="165">
        <f t="shared" ca="1" si="3"/>
        <v>0</v>
      </c>
      <c r="O24" s="166" t="str">
        <f>General!$B$1</f>
        <v>200504_P1_HL_ncov2019_Pool1</v>
      </c>
      <c r="P24" t="e">
        <f ca="1">OFFSET('UV quantification'!$B$36,MOD(ROW('UV quantification'!B57)-ROW('UV quantification'!$B$36),8),QUOTIENT(ROW('UV quantification'!B57)-ROW('UV quantification'!$B$36),8))</f>
        <v>#DIV/0!</v>
      </c>
      <c r="Q24" t="e">
        <f ca="1">OFFSET('UV quantification'!$B$26,MOD(ROW('UV quantification'!B57)-ROW('UV quantification'!$B$36),8),QUOTIENT(ROW('UV quantification'!B57)-ROW('UV quantification'!$B$36),8))</f>
        <v>#DIV/0!</v>
      </c>
      <c r="R24">
        <f ca="1">OFFSET('OP2'!$B$30,MOD(ROW('UV quantification'!B57)-ROW('UV quantification'!$B$36),8),QUOTIENT(ROW('UV quantification'!B57)-ROW('UV quantification'!$B$36),8))</f>
        <v>0</v>
      </c>
      <c r="T24" s="165"/>
    </row>
    <row r="25" spans="1:20" x14ac:dyDescent="0.35">
      <c r="A25" s="39" t="s">
        <v>473</v>
      </c>
      <c r="B25">
        <v>23</v>
      </c>
      <c r="C25" t="s">
        <v>474</v>
      </c>
      <c r="D25" t="str">
        <f ca="1">OFFSET(Syntheses!$B$19,MOD(ROW('UV quantification'!B58)-ROW('UV quantification'!$B$36),8),QUOTIENT(ROW('UV quantification'!B58)-ROW('UV quantification'!$B$36),8))</f>
        <v>nCoV-2019_17_LEFT</v>
      </c>
      <c r="E25" t="str">
        <f ca="1">OFFSET(Syntheses!$B$8,MOD(ROW('UV quantification'!B58)-ROW('UV quantification'!$B$36),8),QUOTIENT(ROW('UV quantification'!B58)-ROW('UV quantification'!$B$36),8))</f>
        <v>CTTCTTTCTTTGAGAGAAGTGAGGACT</v>
      </c>
      <c r="F25">
        <f t="shared" ca="1" si="0"/>
        <v>27</v>
      </c>
      <c r="G25">
        <v>1</v>
      </c>
      <c r="H25" t="s">
        <v>137</v>
      </c>
      <c r="I25" s="165" t="s">
        <v>462</v>
      </c>
      <c r="J25" s="39">
        <f t="shared" ca="1" si="1"/>
        <v>0</v>
      </c>
      <c r="K25">
        <f t="shared" ca="1" si="4"/>
        <v>0</v>
      </c>
      <c r="L25">
        <f t="shared" ca="1" si="4"/>
        <v>0</v>
      </c>
      <c r="M25">
        <f t="shared" ca="1" si="4"/>
        <v>0</v>
      </c>
      <c r="N25" s="165">
        <f t="shared" ca="1" si="3"/>
        <v>0</v>
      </c>
      <c r="O25" s="166" t="str">
        <f>General!$B$1</f>
        <v>200504_P1_HL_ncov2019_Pool1</v>
      </c>
      <c r="P25" t="e">
        <f ca="1">OFFSET('UV quantification'!$B$36,MOD(ROW('UV quantification'!B58)-ROW('UV quantification'!$B$36),8),QUOTIENT(ROW('UV quantification'!B58)-ROW('UV quantification'!$B$36),8))</f>
        <v>#DIV/0!</v>
      </c>
      <c r="Q25" t="e">
        <f ca="1">OFFSET('UV quantification'!$B$26,MOD(ROW('UV quantification'!B58)-ROW('UV quantification'!$B$36),8),QUOTIENT(ROW('UV quantification'!B58)-ROW('UV quantification'!$B$36),8))</f>
        <v>#DIV/0!</v>
      </c>
      <c r="R25">
        <f ca="1">OFFSET('OP2'!$B$30,MOD(ROW('UV quantification'!B58)-ROW('UV quantification'!$B$36),8),QUOTIENT(ROW('UV quantification'!B58)-ROW('UV quantification'!$B$36),8))</f>
        <v>0</v>
      </c>
      <c r="T25" s="165"/>
    </row>
    <row r="26" spans="1:20" x14ac:dyDescent="0.35">
      <c r="A26" s="39" t="s">
        <v>475</v>
      </c>
      <c r="B26">
        <v>24</v>
      </c>
      <c r="C26" t="s">
        <v>476</v>
      </c>
      <c r="D26" t="str">
        <f ca="1">OFFSET(Syntheses!$B$19,MOD(ROW('UV quantification'!B59)-ROW('UV quantification'!$B$36),8),QUOTIENT(ROW('UV quantification'!B59)-ROW('UV quantification'!$B$36),8))</f>
        <v>nCoV-2019_17_RIGHT</v>
      </c>
      <c r="E26" t="str">
        <f ca="1">OFFSET(Syntheses!$B$8,MOD(ROW('UV quantification'!B59)-ROW('UV quantification'!$B$36),8),QUOTIENT(ROW('UV quantification'!B59)-ROW('UV quantification'!$B$36),8))</f>
        <v>TTTGTTGGAGTGTTAACAATGCAGT</v>
      </c>
      <c r="F26">
        <f t="shared" ca="1" si="0"/>
        <v>25</v>
      </c>
      <c r="G26">
        <v>1</v>
      </c>
      <c r="H26" t="s">
        <v>150</v>
      </c>
      <c r="I26" s="165" t="s">
        <v>462</v>
      </c>
      <c r="J26" s="39">
        <f t="shared" ca="1" si="1"/>
        <v>0</v>
      </c>
      <c r="K26">
        <f t="shared" ca="1" si="4"/>
        <v>0</v>
      </c>
      <c r="L26">
        <f t="shared" ca="1" si="4"/>
        <v>0</v>
      </c>
      <c r="M26">
        <f t="shared" ca="1" si="4"/>
        <v>0</v>
      </c>
      <c r="N26" s="165">
        <f t="shared" ca="1" si="3"/>
        <v>0</v>
      </c>
      <c r="O26" s="166" t="str">
        <f>General!$B$1</f>
        <v>200504_P1_HL_ncov2019_Pool1</v>
      </c>
      <c r="P26" t="e">
        <f ca="1">OFFSET('UV quantification'!$B$36,MOD(ROW('UV quantification'!B59)-ROW('UV quantification'!$B$36),8),QUOTIENT(ROW('UV quantification'!B59)-ROW('UV quantification'!$B$36),8))</f>
        <v>#DIV/0!</v>
      </c>
      <c r="Q26" t="e">
        <f ca="1">OFFSET('UV quantification'!$B$26,MOD(ROW('UV quantification'!B59)-ROW('UV quantification'!$B$36),8),QUOTIENT(ROW('UV quantification'!B59)-ROW('UV quantification'!$B$36),8))</f>
        <v>#DIV/0!</v>
      </c>
      <c r="R26">
        <f ca="1">OFFSET('OP2'!$B$30,MOD(ROW('UV quantification'!B59)-ROW('UV quantification'!$B$36),8),QUOTIENT(ROW('UV quantification'!B59)-ROW('UV quantification'!$B$36),8))</f>
        <v>0</v>
      </c>
      <c r="T26" s="165"/>
    </row>
    <row r="27" spans="1:20" x14ac:dyDescent="0.35">
      <c r="A27" s="39" t="s">
        <v>477</v>
      </c>
      <c r="B27">
        <v>25</v>
      </c>
      <c r="C27" t="s">
        <v>478</v>
      </c>
      <c r="D27" t="str">
        <f ca="1">OFFSET(Syntheses!$B$19,MOD(ROW('UV quantification'!B60)-ROW('UV quantification'!$B$36),8),QUOTIENT(ROW('UV quantification'!B60)-ROW('UV quantification'!$B$36),8))</f>
        <v>nCoV-2019_19_LEFT</v>
      </c>
      <c r="E27" t="str">
        <f ca="1">OFFSET(Syntheses!$B$8,MOD(ROW('UV quantification'!B60)-ROW('UV quantification'!$B$36),8),QUOTIENT(ROW('UV quantification'!B60)-ROW('UV quantification'!$B$36),8))</f>
        <v>GCTGTTATGTACATGGGCACACT</v>
      </c>
      <c r="F27">
        <f t="shared" ca="1" si="0"/>
        <v>23</v>
      </c>
      <c r="G27">
        <v>1</v>
      </c>
      <c r="H27" t="s">
        <v>59</v>
      </c>
      <c r="I27" s="165" t="s">
        <v>479</v>
      </c>
      <c r="J27" s="39">
        <f t="shared" ca="1" si="1"/>
        <v>1</v>
      </c>
      <c r="K27">
        <f t="shared" ca="1" si="4"/>
        <v>0</v>
      </c>
      <c r="L27">
        <f t="shared" ca="1" si="4"/>
        <v>0</v>
      </c>
      <c r="M27">
        <f t="shared" ca="1" si="4"/>
        <v>0</v>
      </c>
      <c r="N27" s="165">
        <f t="shared" ca="1" si="3"/>
        <v>1</v>
      </c>
      <c r="O27" s="166" t="str">
        <f>General!$B$1</f>
        <v>200504_P1_HL_ncov2019_Pool1</v>
      </c>
      <c r="P27" t="e">
        <f ca="1">OFFSET('UV quantification'!$B$36,MOD(ROW('UV quantification'!B60)-ROW('UV quantification'!$B$36),8),QUOTIENT(ROW('UV quantification'!B60)-ROW('UV quantification'!$B$36),8))</f>
        <v>#DIV/0!</v>
      </c>
      <c r="Q27" t="e">
        <f ca="1">OFFSET('UV quantification'!$B$26,MOD(ROW('UV quantification'!B60)-ROW('UV quantification'!$B$36),8),QUOTIENT(ROW('UV quantification'!B60)-ROW('UV quantification'!$B$36),8))</f>
        <v>#DIV/0!</v>
      </c>
      <c r="R27">
        <f ca="1">OFFSET('OP2'!$B$30,MOD(ROW('UV quantification'!B60)-ROW('UV quantification'!$B$36),8),QUOTIENT(ROW('UV quantification'!B60)-ROW('UV quantification'!$B$36),8))</f>
        <v>0</v>
      </c>
      <c r="T27" s="165"/>
    </row>
    <row r="28" spans="1:20" x14ac:dyDescent="0.35">
      <c r="A28" s="39" t="s">
        <v>480</v>
      </c>
      <c r="B28">
        <v>26</v>
      </c>
      <c r="C28" t="s">
        <v>481</v>
      </c>
      <c r="D28" t="str">
        <f ca="1">OFFSET(Syntheses!$B$19,MOD(ROW('UV quantification'!B61)-ROW('UV quantification'!$B$36),8),QUOTIENT(ROW('UV quantification'!B61)-ROW('UV quantification'!$B$36),8))</f>
        <v>nCoV-2019_19_RIGHT</v>
      </c>
      <c r="E28" t="str">
        <f ca="1">OFFSET(Syntheses!$B$8,MOD(ROW('UV quantification'!B61)-ROW('UV quantification'!$B$36),8),QUOTIENT(ROW('UV quantification'!B61)-ROW('UV quantification'!$B$36),8))</f>
        <v>TGTCCAACTTAGGGTCAATTTCTGT</v>
      </c>
      <c r="F28">
        <f t="shared" ca="1" si="0"/>
        <v>25</v>
      </c>
      <c r="G28">
        <v>1</v>
      </c>
      <c r="H28" t="s">
        <v>72</v>
      </c>
      <c r="I28" s="165" t="s">
        <v>479</v>
      </c>
      <c r="J28" s="39">
        <f t="shared" ca="1" si="1"/>
        <v>1</v>
      </c>
      <c r="K28">
        <f t="shared" ca="1" si="4"/>
        <v>0</v>
      </c>
      <c r="L28">
        <f t="shared" ca="1" si="4"/>
        <v>0</v>
      </c>
      <c r="M28">
        <f t="shared" ca="1" si="4"/>
        <v>0</v>
      </c>
      <c r="N28" s="165">
        <f t="shared" ca="1" si="3"/>
        <v>1</v>
      </c>
      <c r="O28" s="166" t="str">
        <f>General!$B$1</f>
        <v>200504_P1_HL_ncov2019_Pool1</v>
      </c>
      <c r="P28" t="e">
        <f ca="1">OFFSET('UV quantification'!$B$36,MOD(ROW('UV quantification'!B61)-ROW('UV quantification'!$B$36),8),QUOTIENT(ROW('UV quantification'!B61)-ROW('UV quantification'!$B$36),8))</f>
        <v>#DIV/0!</v>
      </c>
      <c r="Q28" t="e">
        <f ca="1">OFFSET('UV quantification'!$B$26,MOD(ROW('UV quantification'!B61)-ROW('UV quantification'!$B$36),8),QUOTIENT(ROW('UV quantification'!B61)-ROW('UV quantification'!$B$36),8))</f>
        <v>#DIV/0!</v>
      </c>
      <c r="R28">
        <f ca="1">OFFSET('OP2'!$B$30,MOD(ROW('UV quantification'!B61)-ROW('UV quantification'!$B$36),8),QUOTIENT(ROW('UV quantification'!B61)-ROW('UV quantification'!$B$36),8))</f>
        <v>0</v>
      </c>
      <c r="T28" s="165"/>
    </row>
    <row r="29" spans="1:20" x14ac:dyDescent="0.35">
      <c r="A29" s="39" t="s">
        <v>482</v>
      </c>
      <c r="B29">
        <v>27</v>
      </c>
      <c r="C29" t="s">
        <v>483</v>
      </c>
      <c r="D29" t="str">
        <f ca="1">OFFSET(Syntheses!$B$19,MOD(ROW('UV quantification'!B62)-ROW('UV quantification'!$B$36),8),QUOTIENT(ROW('UV quantification'!B62)-ROW('UV quantification'!$B$36),8))</f>
        <v>nCoV-2019_21_LEFT</v>
      </c>
      <c r="E29" t="str">
        <f ca="1">OFFSET(Syntheses!$B$8,MOD(ROW('UV quantification'!B62)-ROW('UV quantification'!$B$36),8),QUOTIENT(ROW('UV quantification'!B62)-ROW('UV quantification'!$B$36),8))</f>
        <v>TGGCTATTGATTATAAACACTACACACCC</v>
      </c>
      <c r="F29">
        <f t="shared" ca="1" si="0"/>
        <v>29</v>
      </c>
      <c r="G29">
        <v>1</v>
      </c>
      <c r="H29" t="s">
        <v>85</v>
      </c>
      <c r="I29" s="165" t="s">
        <v>479</v>
      </c>
      <c r="J29" s="39">
        <f t="shared" ca="1" si="1"/>
        <v>0</v>
      </c>
      <c r="K29">
        <f t="shared" ca="1" si="4"/>
        <v>0</v>
      </c>
      <c r="L29">
        <f t="shared" ca="1" si="4"/>
        <v>0</v>
      </c>
      <c r="M29">
        <f t="shared" ca="1" si="4"/>
        <v>0</v>
      </c>
      <c r="N29" s="165">
        <f t="shared" ca="1" si="3"/>
        <v>0</v>
      </c>
      <c r="O29" s="166" t="str">
        <f>General!$B$1</f>
        <v>200504_P1_HL_ncov2019_Pool1</v>
      </c>
      <c r="P29" t="e">
        <f ca="1">OFFSET('UV quantification'!$B$36,MOD(ROW('UV quantification'!B62)-ROW('UV quantification'!$B$36),8),QUOTIENT(ROW('UV quantification'!B62)-ROW('UV quantification'!$B$36),8))</f>
        <v>#DIV/0!</v>
      </c>
      <c r="Q29" t="e">
        <f ca="1">OFFSET('UV quantification'!$B$26,MOD(ROW('UV quantification'!B62)-ROW('UV quantification'!$B$36),8),QUOTIENT(ROW('UV quantification'!B62)-ROW('UV quantification'!$B$36),8))</f>
        <v>#DIV/0!</v>
      </c>
      <c r="R29">
        <f ca="1">OFFSET('OP2'!$B$30,MOD(ROW('UV quantification'!B62)-ROW('UV quantification'!$B$36),8),QUOTIENT(ROW('UV quantification'!B62)-ROW('UV quantification'!$B$36),8))</f>
        <v>0</v>
      </c>
      <c r="T29" s="165"/>
    </row>
    <row r="30" spans="1:20" x14ac:dyDescent="0.35">
      <c r="A30" s="39" t="s">
        <v>484</v>
      </c>
      <c r="B30">
        <v>28</v>
      </c>
      <c r="C30" t="s">
        <v>485</v>
      </c>
      <c r="D30" t="str">
        <f ca="1">OFFSET(Syntheses!$B$19,MOD(ROW('UV quantification'!B63)-ROW('UV quantification'!$B$36),8),QUOTIENT(ROW('UV quantification'!B63)-ROW('UV quantification'!$B$36),8))</f>
        <v>nCoV-2019_21_LEFT_alt2</v>
      </c>
      <c r="E30" t="str">
        <f ca="1">OFFSET(Syntheses!$B$8,MOD(ROW('UV quantification'!B63)-ROW('UV quantification'!$B$36),8),QUOTIENT(ROW('UV quantification'!B63)-ROW('UV quantification'!$B$36),8))</f>
        <v>GGCTATTGATTATAAACACTACACACCCT</v>
      </c>
      <c r="F30">
        <f t="shared" ca="1" si="0"/>
        <v>29</v>
      </c>
      <c r="G30">
        <v>1</v>
      </c>
      <c r="H30" t="s">
        <v>98</v>
      </c>
      <c r="I30" s="165" t="s">
        <v>479</v>
      </c>
      <c r="J30" s="39">
        <f t="shared" ca="1" si="1"/>
        <v>0</v>
      </c>
      <c r="K30">
        <f t="shared" ca="1" si="4"/>
        <v>0</v>
      </c>
      <c r="L30">
        <f t="shared" ca="1" si="4"/>
        <v>0</v>
      </c>
      <c r="M30">
        <f t="shared" ca="1" si="4"/>
        <v>0</v>
      </c>
      <c r="N30" s="165">
        <f t="shared" ca="1" si="3"/>
        <v>0</v>
      </c>
      <c r="O30" s="166" t="str">
        <f>General!$B$1</f>
        <v>200504_P1_HL_ncov2019_Pool1</v>
      </c>
      <c r="P30" t="e">
        <f ca="1">OFFSET('UV quantification'!$B$36,MOD(ROW('UV quantification'!B63)-ROW('UV quantification'!$B$36),8),QUOTIENT(ROW('UV quantification'!B63)-ROW('UV quantification'!$B$36),8))</f>
        <v>#DIV/0!</v>
      </c>
      <c r="Q30" t="e">
        <f ca="1">OFFSET('UV quantification'!$B$26,MOD(ROW('UV quantification'!B63)-ROW('UV quantification'!$B$36),8),QUOTIENT(ROW('UV quantification'!B63)-ROW('UV quantification'!$B$36),8))</f>
        <v>#DIV/0!</v>
      </c>
      <c r="R30">
        <f ca="1">OFFSET('OP2'!$B$30,MOD(ROW('UV quantification'!B63)-ROW('UV quantification'!$B$36),8),QUOTIENT(ROW('UV quantification'!B63)-ROW('UV quantification'!$B$36),8))</f>
        <v>0</v>
      </c>
      <c r="T30" s="165"/>
    </row>
    <row r="31" spans="1:20" x14ac:dyDescent="0.35">
      <c r="A31" s="39" t="s">
        <v>486</v>
      </c>
      <c r="B31">
        <v>29</v>
      </c>
      <c r="C31" t="s">
        <v>487</v>
      </c>
      <c r="D31" t="str">
        <f ca="1">OFFSET(Syntheses!$B$19,MOD(ROW('UV quantification'!B64)-ROW('UV quantification'!$B$36),8),QUOTIENT(ROW('UV quantification'!B64)-ROW('UV quantification'!$B$36),8))</f>
        <v>nCoV-2019_21_RIGHT</v>
      </c>
      <c r="E31" t="str">
        <f ca="1">OFFSET(Syntheses!$B$8,MOD(ROW('UV quantification'!B64)-ROW('UV quantification'!$B$36),8),QUOTIENT(ROW('UV quantification'!B64)-ROW('UV quantification'!$B$36),8))</f>
        <v>TAGATCTGTGTGGCCAACCTCT</v>
      </c>
      <c r="F31">
        <f t="shared" ca="1" si="0"/>
        <v>22</v>
      </c>
      <c r="G31">
        <v>1</v>
      </c>
      <c r="H31" t="s">
        <v>111</v>
      </c>
      <c r="I31" s="165" t="s">
        <v>479</v>
      </c>
      <c r="J31" s="39">
        <f t="shared" ca="1" si="1"/>
        <v>0</v>
      </c>
      <c r="K31">
        <f t="shared" ca="1" si="4"/>
        <v>0</v>
      </c>
      <c r="L31">
        <f t="shared" ca="1" si="4"/>
        <v>0</v>
      </c>
      <c r="M31">
        <f t="shared" ca="1" si="4"/>
        <v>0</v>
      </c>
      <c r="N31" s="165">
        <f t="shared" ca="1" si="3"/>
        <v>0</v>
      </c>
      <c r="O31" s="166" t="str">
        <f>General!$B$1</f>
        <v>200504_P1_HL_ncov2019_Pool1</v>
      </c>
      <c r="P31" t="e">
        <f ca="1">OFFSET('UV quantification'!$B$36,MOD(ROW('UV quantification'!B64)-ROW('UV quantification'!$B$36),8),QUOTIENT(ROW('UV quantification'!B64)-ROW('UV quantification'!$B$36),8))</f>
        <v>#DIV/0!</v>
      </c>
      <c r="Q31" t="e">
        <f ca="1">OFFSET('UV quantification'!$B$26,MOD(ROW('UV quantification'!B64)-ROW('UV quantification'!$B$36),8),QUOTIENT(ROW('UV quantification'!B64)-ROW('UV quantification'!$B$36),8))</f>
        <v>#DIV/0!</v>
      </c>
      <c r="R31">
        <f ca="1">OFFSET('OP2'!$B$30,MOD(ROW('UV quantification'!B64)-ROW('UV quantification'!$B$36),8),QUOTIENT(ROW('UV quantification'!B64)-ROW('UV quantification'!$B$36),8))</f>
        <v>0</v>
      </c>
      <c r="T31" s="165"/>
    </row>
    <row r="32" spans="1:20" x14ac:dyDescent="0.35">
      <c r="A32" s="39" t="s">
        <v>488</v>
      </c>
      <c r="B32">
        <v>30</v>
      </c>
      <c r="C32" t="s">
        <v>489</v>
      </c>
      <c r="D32" t="str">
        <f ca="1">OFFSET(Syntheses!$B$19,MOD(ROW('UV quantification'!B65)-ROW('UV quantification'!$B$36),8),QUOTIENT(ROW('UV quantification'!B65)-ROW('UV quantification'!$B$36),8))</f>
        <v>nCoV-2019_21_RIGHT_alt0</v>
      </c>
      <c r="E32" t="str">
        <f ca="1">OFFSET(Syntheses!$B$8,MOD(ROW('UV quantification'!B65)-ROW('UV quantification'!$B$36),8),QUOTIENT(ROW('UV quantification'!B65)-ROW('UV quantification'!$B$36),8))</f>
        <v>GATCTGTGTGGCCAACCTCTTC</v>
      </c>
      <c r="F32">
        <f t="shared" ca="1" si="0"/>
        <v>22</v>
      </c>
      <c r="G32">
        <v>1</v>
      </c>
      <c r="H32" t="s">
        <v>124</v>
      </c>
      <c r="I32" s="165" t="s">
        <v>479</v>
      </c>
      <c r="J32" s="39">
        <f t="shared" ca="1" si="1"/>
        <v>0</v>
      </c>
      <c r="K32">
        <f t="shared" ca="1" si="4"/>
        <v>0</v>
      </c>
      <c r="L32">
        <f t="shared" ca="1" si="4"/>
        <v>0</v>
      </c>
      <c r="M32">
        <f t="shared" ca="1" si="4"/>
        <v>0</v>
      </c>
      <c r="N32" s="165">
        <f t="shared" ca="1" si="3"/>
        <v>0</v>
      </c>
      <c r="O32" s="166" t="str">
        <f>General!$B$1</f>
        <v>200504_P1_HL_ncov2019_Pool1</v>
      </c>
      <c r="P32" t="e">
        <f ca="1">OFFSET('UV quantification'!$B$36,MOD(ROW('UV quantification'!B65)-ROW('UV quantification'!$B$36),8),QUOTIENT(ROW('UV quantification'!B65)-ROW('UV quantification'!$B$36),8))</f>
        <v>#DIV/0!</v>
      </c>
      <c r="Q32" t="e">
        <f ca="1">OFFSET('UV quantification'!$B$26,MOD(ROW('UV quantification'!B65)-ROW('UV quantification'!$B$36),8),QUOTIENT(ROW('UV quantification'!B65)-ROW('UV quantification'!$B$36),8))</f>
        <v>#DIV/0!</v>
      </c>
      <c r="R32">
        <f ca="1">OFFSET('OP2'!$B$30,MOD(ROW('UV quantification'!B65)-ROW('UV quantification'!$B$36),8),QUOTIENT(ROW('UV quantification'!B65)-ROW('UV quantification'!$B$36),8))</f>
        <v>0</v>
      </c>
      <c r="T32" s="165"/>
    </row>
    <row r="33" spans="1:20" x14ac:dyDescent="0.35">
      <c r="A33" s="39" t="s">
        <v>490</v>
      </c>
      <c r="B33">
        <v>31</v>
      </c>
      <c r="C33" t="s">
        <v>491</v>
      </c>
      <c r="D33" t="str">
        <f ca="1">OFFSET(Syntheses!$B$19,MOD(ROW('UV quantification'!B66)-ROW('UV quantification'!$B$36),8),QUOTIENT(ROW('UV quantification'!B66)-ROW('UV quantification'!$B$36),8))</f>
        <v>nCoV-2019_23_LEFT</v>
      </c>
      <c r="E33" t="str">
        <f ca="1">OFFSET(Syntheses!$B$8,MOD(ROW('UV quantification'!B66)-ROW('UV quantification'!$B$36),8),QUOTIENT(ROW('UV quantification'!B66)-ROW('UV quantification'!$B$36),8))</f>
        <v>ACAACTACTAACATAGTTACACGGTGT</v>
      </c>
      <c r="F33">
        <f t="shared" ca="1" si="0"/>
        <v>27</v>
      </c>
      <c r="G33">
        <v>1</v>
      </c>
      <c r="H33" t="s">
        <v>137</v>
      </c>
      <c r="I33" s="165" t="s">
        <v>479</v>
      </c>
      <c r="J33" s="39">
        <f t="shared" ca="1" si="1"/>
        <v>0</v>
      </c>
      <c r="K33">
        <f t="shared" ca="1" si="4"/>
        <v>0</v>
      </c>
      <c r="L33">
        <f t="shared" ca="1" si="4"/>
        <v>0</v>
      </c>
      <c r="M33">
        <f t="shared" ca="1" si="4"/>
        <v>0</v>
      </c>
      <c r="N33" s="165">
        <f t="shared" ca="1" si="3"/>
        <v>0</v>
      </c>
      <c r="O33" s="166" t="str">
        <f>General!$B$1</f>
        <v>200504_P1_HL_ncov2019_Pool1</v>
      </c>
      <c r="P33" t="e">
        <f ca="1">OFFSET('UV quantification'!$B$36,MOD(ROW('UV quantification'!B66)-ROW('UV quantification'!$B$36),8),QUOTIENT(ROW('UV quantification'!B66)-ROW('UV quantification'!$B$36),8))</f>
        <v>#DIV/0!</v>
      </c>
      <c r="Q33" t="e">
        <f ca="1">OFFSET('UV quantification'!$B$26,MOD(ROW('UV quantification'!B66)-ROW('UV quantification'!$B$36),8),QUOTIENT(ROW('UV quantification'!B66)-ROW('UV quantification'!$B$36),8))</f>
        <v>#DIV/0!</v>
      </c>
      <c r="R33">
        <f ca="1">OFFSET('OP2'!$B$30,MOD(ROW('UV quantification'!B66)-ROW('UV quantification'!$B$36),8),QUOTIENT(ROW('UV quantification'!B66)-ROW('UV quantification'!$B$36),8))</f>
        <v>0</v>
      </c>
      <c r="T33" s="165"/>
    </row>
    <row r="34" spans="1:20" x14ac:dyDescent="0.35">
      <c r="A34" s="39" t="s">
        <v>492</v>
      </c>
      <c r="B34">
        <v>32</v>
      </c>
      <c r="C34" t="s">
        <v>493</v>
      </c>
      <c r="D34" t="str">
        <f ca="1">OFFSET(Syntheses!$B$19,MOD(ROW('UV quantification'!B67)-ROW('UV quantification'!$B$36),8),QUOTIENT(ROW('UV quantification'!B67)-ROW('UV quantification'!$B$36),8))</f>
        <v>nCoV-2019_23_RIGHT</v>
      </c>
      <c r="E34" t="str">
        <f ca="1">OFFSET(Syntheses!$B$8,MOD(ROW('UV quantification'!B67)-ROW('UV quantification'!$B$36),8),QUOTIENT(ROW('UV quantification'!B67)-ROW('UV quantification'!$B$36),8))</f>
        <v>ACCAGTACAGTAGGTTGCAATAGTG</v>
      </c>
      <c r="F34">
        <f t="shared" ca="1" si="0"/>
        <v>25</v>
      </c>
      <c r="G34">
        <v>1</v>
      </c>
      <c r="H34" t="s">
        <v>150</v>
      </c>
      <c r="I34" s="165" t="s">
        <v>479</v>
      </c>
      <c r="J34" s="39">
        <f t="shared" ca="1" si="1"/>
        <v>0</v>
      </c>
      <c r="K34">
        <f t="shared" ca="1" si="4"/>
        <v>0</v>
      </c>
      <c r="L34">
        <f t="shared" ca="1" si="4"/>
        <v>0</v>
      </c>
      <c r="M34">
        <f t="shared" ca="1" si="4"/>
        <v>0</v>
      </c>
      <c r="N34" s="165">
        <f t="shared" ca="1" si="3"/>
        <v>0</v>
      </c>
      <c r="O34" s="166" t="str">
        <f>General!$B$1</f>
        <v>200504_P1_HL_ncov2019_Pool1</v>
      </c>
      <c r="P34" t="e">
        <f ca="1">OFFSET('UV quantification'!$B$36,MOD(ROW('UV quantification'!B67)-ROW('UV quantification'!$B$36),8),QUOTIENT(ROW('UV quantification'!B67)-ROW('UV quantification'!$B$36),8))</f>
        <v>#DIV/0!</v>
      </c>
      <c r="Q34" t="e">
        <f ca="1">OFFSET('UV quantification'!$B$26,MOD(ROW('UV quantification'!B67)-ROW('UV quantification'!$B$36),8),QUOTIENT(ROW('UV quantification'!B67)-ROW('UV quantification'!$B$36),8))</f>
        <v>#DIV/0!</v>
      </c>
      <c r="R34">
        <f ca="1">OFFSET('OP2'!$B$30,MOD(ROW('UV quantification'!B67)-ROW('UV quantification'!$B$36),8),QUOTIENT(ROW('UV quantification'!B67)-ROW('UV quantification'!$B$36),8))</f>
        <v>0</v>
      </c>
      <c r="T34" s="165"/>
    </row>
    <row r="35" spans="1:20" x14ac:dyDescent="0.35">
      <c r="A35" s="39" t="s">
        <v>494</v>
      </c>
      <c r="B35">
        <v>33</v>
      </c>
      <c r="C35" t="s">
        <v>495</v>
      </c>
      <c r="D35" t="str">
        <f ca="1">OFFSET(Syntheses!$B$19,MOD(ROW('UV quantification'!B68)-ROW('UV quantification'!$B$36),8),QUOTIENT(ROW('UV quantification'!B68)-ROW('UV quantification'!$B$36),8))</f>
        <v>nCoV-2019_25_LEFT</v>
      </c>
      <c r="E35" t="str">
        <f ca="1">OFFSET(Syntheses!$B$8,MOD(ROW('UV quantification'!B68)-ROW('UV quantification'!$B$36),8),QUOTIENT(ROW('UV quantification'!B68)-ROW('UV quantification'!$B$36),8))</f>
        <v>GCAATTGTTTTTCAGCTATTTTGCAGT</v>
      </c>
      <c r="F35">
        <f t="shared" ref="F35:F66" ca="1" si="5">LEN(E35)</f>
        <v>27</v>
      </c>
      <c r="G35">
        <v>1</v>
      </c>
      <c r="H35" t="s">
        <v>59</v>
      </c>
      <c r="I35" s="165" t="s">
        <v>496</v>
      </c>
      <c r="J35" s="39">
        <f t="shared" ref="J35:J66" ca="1" si="6">K35+L35+M35+QUOTIENT(N35,2)*5+MOD(N35,2)</f>
        <v>0</v>
      </c>
      <c r="K35">
        <f t="shared" ca="1" si="4"/>
        <v>0</v>
      </c>
      <c r="L35">
        <f t="shared" ca="1" si="4"/>
        <v>0</v>
      </c>
      <c r="M35">
        <f t="shared" ca="1" si="4"/>
        <v>0</v>
      </c>
      <c r="N35" s="165">
        <f t="shared" ref="N35:N66" ca="1" si="7">(LEN($E35)-3-LEN(SUBSTITUTE(LEFT($E35, LEN($E35)-3),N$2,"")))/LEN(N$2)</f>
        <v>0</v>
      </c>
      <c r="O35" s="166" t="str">
        <f>General!$B$1</f>
        <v>200504_P1_HL_ncov2019_Pool1</v>
      </c>
      <c r="P35" t="e">
        <f ca="1">OFFSET('UV quantification'!$B$36,MOD(ROW('UV quantification'!B68)-ROW('UV quantification'!$B$36),8),QUOTIENT(ROW('UV quantification'!B68)-ROW('UV quantification'!$B$36),8))</f>
        <v>#DIV/0!</v>
      </c>
      <c r="Q35" t="e">
        <f ca="1">OFFSET('UV quantification'!$B$26,MOD(ROW('UV quantification'!B68)-ROW('UV quantification'!$B$36),8),QUOTIENT(ROW('UV quantification'!B68)-ROW('UV quantification'!$B$36),8))</f>
        <v>#DIV/0!</v>
      </c>
      <c r="R35">
        <f ca="1">OFFSET('OP2'!$B$30,MOD(ROW('UV quantification'!B68)-ROW('UV quantification'!$B$36),8),QUOTIENT(ROW('UV quantification'!B68)-ROW('UV quantification'!$B$36),8))</f>
        <v>0</v>
      </c>
      <c r="T35" s="165"/>
    </row>
    <row r="36" spans="1:20" x14ac:dyDescent="0.35">
      <c r="A36" s="39" t="s">
        <v>497</v>
      </c>
      <c r="B36">
        <v>34</v>
      </c>
      <c r="C36" t="s">
        <v>498</v>
      </c>
      <c r="D36" t="str">
        <f ca="1">OFFSET(Syntheses!$B$19,MOD(ROW('UV quantification'!B69)-ROW('UV quantification'!$B$36),8),QUOTIENT(ROW('UV quantification'!B69)-ROW('UV quantification'!$B$36),8))</f>
        <v>nCoV-2019_25_RIGHT</v>
      </c>
      <c r="E36" t="str">
        <f ca="1">OFFSET(Syntheses!$B$8,MOD(ROW('UV quantification'!B69)-ROW('UV quantification'!$B$36),8),QUOTIENT(ROW('UV quantification'!B69)-ROW('UV quantification'!$B$36),8))</f>
        <v>ACTGTAGTGACAAGTCTCTCGCA</v>
      </c>
      <c r="F36">
        <f t="shared" ca="1" si="5"/>
        <v>23</v>
      </c>
      <c r="G36">
        <v>1</v>
      </c>
      <c r="H36" t="s">
        <v>72</v>
      </c>
      <c r="I36" s="165" t="s">
        <v>496</v>
      </c>
      <c r="J36" s="39">
        <f t="shared" ca="1" si="6"/>
        <v>0</v>
      </c>
      <c r="K36">
        <f t="shared" ca="1" si="4"/>
        <v>0</v>
      </c>
      <c r="L36">
        <f t="shared" ca="1" si="4"/>
        <v>0</v>
      </c>
      <c r="M36">
        <f t="shared" ca="1" si="4"/>
        <v>0</v>
      </c>
      <c r="N36" s="165">
        <f t="shared" ca="1" si="7"/>
        <v>0</v>
      </c>
      <c r="O36" s="166" t="str">
        <f>General!$B$1</f>
        <v>200504_P1_HL_ncov2019_Pool1</v>
      </c>
      <c r="P36" t="e">
        <f ca="1">OFFSET('UV quantification'!$B$36,MOD(ROW('UV quantification'!B69)-ROW('UV quantification'!$B$36),8),QUOTIENT(ROW('UV quantification'!B69)-ROW('UV quantification'!$B$36),8))</f>
        <v>#DIV/0!</v>
      </c>
      <c r="Q36" t="e">
        <f ca="1">OFFSET('UV quantification'!$B$26,MOD(ROW('UV quantification'!B69)-ROW('UV quantification'!$B$36),8),QUOTIENT(ROW('UV quantification'!B69)-ROW('UV quantification'!$B$36),8))</f>
        <v>#DIV/0!</v>
      </c>
      <c r="R36">
        <f ca="1">OFFSET('OP2'!$B$30,MOD(ROW('UV quantification'!B69)-ROW('UV quantification'!$B$36),8),QUOTIENT(ROW('UV quantification'!B69)-ROW('UV quantification'!$B$36),8))</f>
        <v>0</v>
      </c>
      <c r="T36" s="165"/>
    </row>
    <row r="37" spans="1:20" x14ac:dyDescent="0.35">
      <c r="A37" s="39" t="s">
        <v>499</v>
      </c>
      <c r="B37">
        <v>35</v>
      </c>
      <c r="C37" t="s">
        <v>500</v>
      </c>
      <c r="D37" t="str">
        <f ca="1">OFFSET(Syntheses!$B$19,MOD(ROW('UV quantification'!B70)-ROW('UV quantification'!$B$36),8),QUOTIENT(ROW('UV quantification'!B70)-ROW('UV quantification'!$B$36),8))</f>
        <v>nCoV-2019_27_LEFT</v>
      </c>
      <c r="E37" t="str">
        <f ca="1">OFFSET(Syntheses!$B$8,MOD(ROW('UV quantification'!B70)-ROW('UV quantification'!$B$36),8),QUOTIENT(ROW('UV quantification'!B70)-ROW('UV quantification'!$B$36),8))</f>
        <v>ACTACAGTCAGCTTATGTGTCAACC</v>
      </c>
      <c r="F37">
        <f t="shared" ca="1" si="5"/>
        <v>25</v>
      </c>
      <c r="G37">
        <v>1</v>
      </c>
      <c r="H37" t="s">
        <v>85</v>
      </c>
      <c r="I37" s="165" t="s">
        <v>496</v>
      </c>
      <c r="J37" s="39">
        <f t="shared" ca="1" si="6"/>
        <v>0</v>
      </c>
      <c r="K37">
        <f t="shared" ca="1" si="4"/>
        <v>0</v>
      </c>
      <c r="L37">
        <f t="shared" ca="1" si="4"/>
        <v>0</v>
      </c>
      <c r="M37">
        <f t="shared" ca="1" si="4"/>
        <v>0</v>
      </c>
      <c r="N37" s="165">
        <f t="shared" ca="1" si="7"/>
        <v>0</v>
      </c>
      <c r="O37" s="166" t="str">
        <f>General!$B$1</f>
        <v>200504_P1_HL_ncov2019_Pool1</v>
      </c>
      <c r="P37" t="e">
        <f ca="1">OFFSET('UV quantification'!$B$36,MOD(ROW('UV quantification'!B70)-ROW('UV quantification'!$B$36),8),QUOTIENT(ROW('UV quantification'!B70)-ROW('UV quantification'!$B$36),8))</f>
        <v>#DIV/0!</v>
      </c>
      <c r="Q37" t="e">
        <f ca="1">OFFSET('UV quantification'!$B$26,MOD(ROW('UV quantification'!B70)-ROW('UV quantification'!$B$36),8),QUOTIENT(ROW('UV quantification'!B70)-ROW('UV quantification'!$B$36),8))</f>
        <v>#DIV/0!</v>
      </c>
      <c r="R37">
        <f ca="1">OFFSET('OP2'!$B$30,MOD(ROW('UV quantification'!B70)-ROW('UV quantification'!$B$36),8),QUOTIENT(ROW('UV quantification'!B70)-ROW('UV quantification'!$B$36),8))</f>
        <v>0</v>
      </c>
      <c r="T37" s="165"/>
    </row>
    <row r="38" spans="1:20" x14ac:dyDescent="0.35">
      <c r="A38" s="39" t="s">
        <v>501</v>
      </c>
      <c r="B38">
        <v>36</v>
      </c>
      <c r="C38" t="s">
        <v>502</v>
      </c>
      <c r="D38" t="str">
        <f ca="1">OFFSET(Syntheses!$B$19,MOD(ROW('UV quantification'!B71)-ROW('UV quantification'!$B$36),8),QUOTIENT(ROW('UV quantification'!B71)-ROW('UV quantification'!$B$36),8))</f>
        <v>nCoV-2019_27_RIGHT</v>
      </c>
      <c r="E38" t="str">
        <f ca="1">OFFSET(Syntheses!$B$8,MOD(ROW('UV quantification'!B71)-ROW('UV quantification'!$B$36),8),QUOTIENT(ROW('UV quantification'!B71)-ROW('UV quantification'!$B$36),8))</f>
        <v>AATACAAGCACCAAGGTCACGG</v>
      </c>
      <c r="F38">
        <f t="shared" ca="1" si="5"/>
        <v>22</v>
      </c>
      <c r="G38">
        <v>1</v>
      </c>
      <c r="H38" t="s">
        <v>98</v>
      </c>
      <c r="I38" s="165" t="s">
        <v>496</v>
      </c>
      <c r="J38" s="39">
        <f t="shared" ca="1" si="6"/>
        <v>0</v>
      </c>
      <c r="K38">
        <f t="shared" ca="1" si="4"/>
        <v>0</v>
      </c>
      <c r="L38">
        <f t="shared" ca="1" si="4"/>
        <v>0</v>
      </c>
      <c r="M38">
        <f t="shared" ca="1" si="4"/>
        <v>0</v>
      </c>
      <c r="N38" s="165">
        <f t="shared" ca="1" si="7"/>
        <v>0</v>
      </c>
      <c r="O38" s="166" t="str">
        <f>General!$B$1</f>
        <v>200504_P1_HL_ncov2019_Pool1</v>
      </c>
      <c r="P38" t="e">
        <f ca="1">OFFSET('UV quantification'!$B$36,MOD(ROW('UV quantification'!B71)-ROW('UV quantification'!$B$36),8),QUOTIENT(ROW('UV quantification'!B71)-ROW('UV quantification'!$B$36),8))</f>
        <v>#DIV/0!</v>
      </c>
      <c r="Q38" t="e">
        <f ca="1">OFFSET('UV quantification'!$B$26,MOD(ROW('UV quantification'!B71)-ROW('UV quantification'!$B$36),8),QUOTIENT(ROW('UV quantification'!B71)-ROW('UV quantification'!$B$36),8))</f>
        <v>#DIV/0!</v>
      </c>
      <c r="R38">
        <f ca="1">OFFSET('OP2'!$B$30,MOD(ROW('UV quantification'!B71)-ROW('UV quantification'!$B$36),8),QUOTIENT(ROW('UV quantification'!B71)-ROW('UV quantification'!$B$36),8))</f>
        <v>0</v>
      </c>
      <c r="T38" s="165"/>
    </row>
    <row r="39" spans="1:20" x14ac:dyDescent="0.35">
      <c r="A39" s="39" t="s">
        <v>503</v>
      </c>
      <c r="B39">
        <v>37</v>
      </c>
      <c r="C39" t="s">
        <v>504</v>
      </c>
      <c r="D39" t="str">
        <f ca="1">OFFSET(Syntheses!$B$19,MOD(ROW('UV quantification'!B72)-ROW('UV quantification'!$B$36),8),QUOTIENT(ROW('UV quantification'!B72)-ROW('UV quantification'!$B$36),8))</f>
        <v>nCoV-2019_29_LEFT</v>
      </c>
      <c r="E39" t="str">
        <f ca="1">OFFSET(Syntheses!$B$8,MOD(ROW('UV quantification'!B72)-ROW('UV quantification'!$B$36),8),QUOTIENT(ROW('UV quantification'!B72)-ROW('UV quantification'!$B$36),8))</f>
        <v>ACTTGTGTTCCTTTTTGTTGCTGC</v>
      </c>
      <c r="F39">
        <f t="shared" ca="1" si="5"/>
        <v>24</v>
      </c>
      <c r="G39">
        <v>1</v>
      </c>
      <c r="H39" t="s">
        <v>111</v>
      </c>
      <c r="I39" s="165" t="s">
        <v>496</v>
      </c>
      <c r="J39" s="39">
        <f t="shared" ca="1" si="6"/>
        <v>0</v>
      </c>
      <c r="K39">
        <f t="shared" ca="1" si="4"/>
        <v>0</v>
      </c>
      <c r="L39">
        <f t="shared" ca="1" si="4"/>
        <v>0</v>
      </c>
      <c r="M39">
        <f t="shared" ca="1" si="4"/>
        <v>0</v>
      </c>
      <c r="N39" s="165">
        <f t="shared" ca="1" si="7"/>
        <v>0</v>
      </c>
      <c r="O39" s="166" t="str">
        <f>General!$B$1</f>
        <v>200504_P1_HL_ncov2019_Pool1</v>
      </c>
      <c r="P39" t="e">
        <f ca="1">OFFSET('UV quantification'!$B$36,MOD(ROW('UV quantification'!B72)-ROW('UV quantification'!$B$36),8),QUOTIENT(ROW('UV quantification'!B72)-ROW('UV quantification'!$B$36),8))</f>
        <v>#DIV/0!</v>
      </c>
      <c r="Q39" t="e">
        <f ca="1">OFFSET('UV quantification'!$B$26,MOD(ROW('UV quantification'!B72)-ROW('UV quantification'!$B$36),8),QUOTIENT(ROW('UV quantification'!B72)-ROW('UV quantification'!$B$36),8))</f>
        <v>#DIV/0!</v>
      </c>
      <c r="R39">
        <f ca="1">OFFSET('OP2'!$B$30,MOD(ROW('UV quantification'!B72)-ROW('UV quantification'!$B$36),8),QUOTIENT(ROW('UV quantification'!B72)-ROW('UV quantification'!$B$36),8))</f>
        <v>0</v>
      </c>
      <c r="T39" s="165"/>
    </row>
    <row r="40" spans="1:20" x14ac:dyDescent="0.35">
      <c r="A40" s="39" t="s">
        <v>505</v>
      </c>
      <c r="B40">
        <v>38</v>
      </c>
      <c r="C40" t="s">
        <v>506</v>
      </c>
      <c r="D40" t="str">
        <f ca="1">OFFSET(Syntheses!$B$19,MOD(ROW('UV quantification'!B73)-ROW('UV quantification'!$B$36),8),QUOTIENT(ROW('UV quantification'!B73)-ROW('UV quantification'!$B$36),8))</f>
        <v>nCoV-2019_29_RIGHT</v>
      </c>
      <c r="E40" t="str">
        <f ca="1">OFFSET(Syntheses!$B$8,MOD(ROW('UV quantification'!B73)-ROW('UV quantification'!$B$36),8),QUOTIENT(ROW('UV quantification'!B73)-ROW('UV quantification'!$B$36),8))</f>
        <v>AGTGTACTCTATAAGTTTTGATGGTGTGT</v>
      </c>
      <c r="F40">
        <f t="shared" ca="1" si="5"/>
        <v>29</v>
      </c>
      <c r="G40">
        <v>1</v>
      </c>
      <c r="H40" t="s">
        <v>124</v>
      </c>
      <c r="I40" s="165" t="s">
        <v>496</v>
      </c>
      <c r="J40" s="39">
        <f t="shared" ca="1" si="6"/>
        <v>0</v>
      </c>
      <c r="K40">
        <f t="shared" ca="1" si="4"/>
        <v>0</v>
      </c>
      <c r="L40">
        <f t="shared" ca="1" si="4"/>
        <v>0</v>
      </c>
      <c r="M40">
        <f t="shared" ca="1" si="4"/>
        <v>0</v>
      </c>
      <c r="N40" s="165">
        <f t="shared" ca="1" si="7"/>
        <v>0</v>
      </c>
      <c r="O40" s="166" t="str">
        <f>General!$B$1</f>
        <v>200504_P1_HL_ncov2019_Pool1</v>
      </c>
      <c r="P40" t="e">
        <f ca="1">OFFSET('UV quantification'!$B$36,MOD(ROW('UV quantification'!B73)-ROW('UV quantification'!$B$36),8),QUOTIENT(ROW('UV quantification'!B73)-ROW('UV quantification'!$B$36),8))</f>
        <v>#DIV/0!</v>
      </c>
      <c r="Q40" t="e">
        <f ca="1">OFFSET('UV quantification'!$B$26,MOD(ROW('UV quantification'!B73)-ROW('UV quantification'!$B$36),8),QUOTIENT(ROW('UV quantification'!B73)-ROW('UV quantification'!$B$36),8))</f>
        <v>#DIV/0!</v>
      </c>
      <c r="R40">
        <f ca="1">OFFSET('OP2'!$B$30,MOD(ROW('UV quantification'!B73)-ROW('UV quantification'!$B$36),8),QUOTIENT(ROW('UV quantification'!B73)-ROW('UV quantification'!$B$36),8))</f>
        <v>0</v>
      </c>
      <c r="T40" s="165"/>
    </row>
    <row r="41" spans="1:20" x14ac:dyDescent="0.35">
      <c r="A41" s="39" t="s">
        <v>507</v>
      </c>
      <c r="B41">
        <v>39</v>
      </c>
      <c r="C41" t="s">
        <v>508</v>
      </c>
      <c r="D41" t="str">
        <f ca="1">OFFSET(Syntheses!$B$19,MOD(ROW('UV quantification'!B74)-ROW('UV quantification'!$B$36),8),QUOTIENT(ROW('UV quantification'!B74)-ROW('UV quantification'!$B$36),8))</f>
        <v>nCoV-2019_31_LEFT</v>
      </c>
      <c r="E41" t="str">
        <f ca="1">OFFSET(Syntheses!$B$8,MOD(ROW('UV quantification'!B74)-ROW('UV quantification'!$B$36),8),QUOTIENT(ROW('UV quantification'!B74)-ROW('UV quantification'!$B$36),8))</f>
        <v>TTCTGAGTACTGTAGGCACGGC</v>
      </c>
      <c r="F41">
        <f t="shared" ca="1" si="5"/>
        <v>22</v>
      </c>
      <c r="G41">
        <v>1</v>
      </c>
      <c r="H41" t="s">
        <v>137</v>
      </c>
      <c r="I41" s="165" t="s">
        <v>496</v>
      </c>
      <c r="J41" s="39">
        <f t="shared" ca="1" si="6"/>
        <v>0</v>
      </c>
      <c r="K41">
        <f t="shared" ca="1" si="4"/>
        <v>0</v>
      </c>
      <c r="L41">
        <f t="shared" ca="1" si="4"/>
        <v>0</v>
      </c>
      <c r="M41">
        <f t="shared" ca="1" si="4"/>
        <v>0</v>
      </c>
      <c r="N41" s="165">
        <f t="shared" ca="1" si="7"/>
        <v>0</v>
      </c>
      <c r="O41" s="166" t="str">
        <f>General!$B$1</f>
        <v>200504_P1_HL_ncov2019_Pool1</v>
      </c>
      <c r="P41" t="e">
        <f ca="1">OFFSET('UV quantification'!$B$36,MOD(ROW('UV quantification'!B74)-ROW('UV quantification'!$B$36),8),QUOTIENT(ROW('UV quantification'!B74)-ROW('UV quantification'!$B$36),8))</f>
        <v>#DIV/0!</v>
      </c>
      <c r="Q41" t="e">
        <f ca="1">OFFSET('UV quantification'!$B$26,MOD(ROW('UV quantification'!B74)-ROW('UV quantification'!$B$36),8),QUOTIENT(ROW('UV quantification'!B74)-ROW('UV quantification'!$B$36),8))</f>
        <v>#DIV/0!</v>
      </c>
      <c r="R41">
        <f ca="1">OFFSET('OP2'!$B$30,MOD(ROW('UV quantification'!B74)-ROW('UV quantification'!$B$36),8),QUOTIENT(ROW('UV quantification'!B74)-ROW('UV quantification'!$B$36),8))</f>
        <v>0</v>
      </c>
      <c r="T41" s="165"/>
    </row>
    <row r="42" spans="1:20" x14ac:dyDescent="0.35">
      <c r="A42" s="39" t="s">
        <v>509</v>
      </c>
      <c r="B42">
        <v>40</v>
      </c>
      <c r="C42" t="s">
        <v>510</v>
      </c>
      <c r="D42" t="str">
        <f ca="1">OFFSET(Syntheses!$B$19,MOD(ROW('UV quantification'!B75)-ROW('UV quantification'!$B$36),8),QUOTIENT(ROW('UV quantification'!B75)-ROW('UV quantification'!$B$36),8))</f>
        <v>nCoV-2019_31_RIGHT</v>
      </c>
      <c r="E42" t="str">
        <f ca="1">OFFSET(Syntheses!$B$8,MOD(ROW('UV quantification'!B75)-ROW('UV quantification'!$B$36),8),QUOTIENT(ROW('UV quantification'!B75)-ROW('UV quantification'!$B$36),8))</f>
        <v>ACAGAATAAACACCAGGTAAGAATGAGT</v>
      </c>
      <c r="F42">
        <f t="shared" ca="1" si="5"/>
        <v>28</v>
      </c>
      <c r="G42">
        <v>1</v>
      </c>
      <c r="H42" t="s">
        <v>150</v>
      </c>
      <c r="I42" s="165" t="s">
        <v>496</v>
      </c>
      <c r="J42" s="39">
        <f t="shared" ca="1" si="6"/>
        <v>0</v>
      </c>
      <c r="K42">
        <f t="shared" ca="1" si="4"/>
        <v>0</v>
      </c>
      <c r="L42">
        <f t="shared" ca="1" si="4"/>
        <v>0</v>
      </c>
      <c r="M42">
        <f t="shared" ca="1" si="4"/>
        <v>0</v>
      </c>
      <c r="N42" s="165">
        <f t="shared" ca="1" si="7"/>
        <v>0</v>
      </c>
      <c r="O42" s="166" t="str">
        <f>General!$B$1</f>
        <v>200504_P1_HL_ncov2019_Pool1</v>
      </c>
      <c r="P42" t="e">
        <f ca="1">OFFSET('UV quantification'!$B$36,MOD(ROW('UV quantification'!B75)-ROW('UV quantification'!$B$36),8),QUOTIENT(ROW('UV quantification'!B75)-ROW('UV quantification'!$B$36),8))</f>
        <v>#DIV/0!</v>
      </c>
      <c r="Q42" t="e">
        <f ca="1">OFFSET('UV quantification'!$B$26,MOD(ROW('UV quantification'!B75)-ROW('UV quantification'!$B$36),8),QUOTIENT(ROW('UV quantification'!B75)-ROW('UV quantification'!$B$36),8))</f>
        <v>#DIV/0!</v>
      </c>
      <c r="R42">
        <f ca="1">OFFSET('OP2'!$B$30,MOD(ROW('UV quantification'!B75)-ROW('UV quantification'!$B$36),8),QUOTIENT(ROW('UV quantification'!B75)-ROW('UV quantification'!$B$36),8))</f>
        <v>0</v>
      </c>
      <c r="T42" s="165"/>
    </row>
    <row r="43" spans="1:20" x14ac:dyDescent="0.35">
      <c r="A43" s="39" t="s">
        <v>511</v>
      </c>
      <c r="B43">
        <v>41</v>
      </c>
      <c r="C43" t="s">
        <v>512</v>
      </c>
      <c r="D43" t="str">
        <f ca="1">OFFSET(Syntheses!$B$19,MOD(ROW('UV quantification'!B76)-ROW('UV quantification'!$B$36),8),QUOTIENT(ROW('UV quantification'!B76)-ROW('UV quantification'!$B$36),8))</f>
        <v>nCoV-2019_33_LEFT</v>
      </c>
      <c r="E43" t="str">
        <f ca="1">OFFSET(Syntheses!$B$8,MOD(ROW('UV quantification'!B76)-ROW('UV quantification'!$B$36),8),QUOTIENT(ROW('UV quantification'!B76)-ROW('UV quantification'!$B$36),8))</f>
        <v>ACTTTTGAAGAAGCTGCGCTGT</v>
      </c>
      <c r="F43">
        <f t="shared" ca="1" si="5"/>
        <v>22</v>
      </c>
      <c r="G43">
        <v>1</v>
      </c>
      <c r="H43" t="s">
        <v>59</v>
      </c>
      <c r="I43" s="165" t="s">
        <v>513</v>
      </c>
      <c r="J43" s="39">
        <f t="shared" ca="1" si="6"/>
        <v>0</v>
      </c>
      <c r="K43">
        <f t="shared" ref="K43:M62" ca="1" si="8">(LEN($E43)-LEN(SUBSTITUTE($E43,K$2,"")))/LEN(K$2)</f>
        <v>0</v>
      </c>
      <c r="L43">
        <f t="shared" ca="1" si="8"/>
        <v>0</v>
      </c>
      <c r="M43">
        <f t="shared" ca="1" si="8"/>
        <v>0</v>
      </c>
      <c r="N43" s="165">
        <f t="shared" ca="1" si="7"/>
        <v>0</v>
      </c>
      <c r="O43" s="166" t="str">
        <f>General!$B$1</f>
        <v>200504_P1_HL_ncov2019_Pool1</v>
      </c>
      <c r="P43" t="e">
        <f ca="1">OFFSET('UV quantification'!$B$36,MOD(ROW('UV quantification'!B76)-ROW('UV quantification'!$B$36),8),QUOTIENT(ROW('UV quantification'!B76)-ROW('UV quantification'!$B$36),8))</f>
        <v>#DIV/0!</v>
      </c>
      <c r="Q43" t="e">
        <f ca="1">OFFSET('UV quantification'!$B$26,MOD(ROW('UV quantification'!B76)-ROW('UV quantification'!$B$36),8),QUOTIENT(ROW('UV quantification'!B76)-ROW('UV quantification'!$B$36),8))</f>
        <v>#DIV/0!</v>
      </c>
      <c r="R43">
        <f ca="1">OFFSET('OP2'!$B$30,MOD(ROW('UV quantification'!B76)-ROW('UV quantification'!$B$36),8),QUOTIENT(ROW('UV quantification'!B76)-ROW('UV quantification'!$B$36),8))</f>
        <v>0</v>
      </c>
      <c r="T43" s="165"/>
    </row>
    <row r="44" spans="1:20" x14ac:dyDescent="0.35">
      <c r="A44" s="39" t="s">
        <v>514</v>
      </c>
      <c r="B44">
        <v>42</v>
      </c>
      <c r="C44" t="s">
        <v>515</v>
      </c>
      <c r="D44" t="str">
        <f ca="1">OFFSET(Syntheses!$B$19,MOD(ROW('UV quantification'!B77)-ROW('UV quantification'!$B$36),8),QUOTIENT(ROW('UV quantification'!B77)-ROW('UV quantification'!$B$36),8))</f>
        <v>nCoV-2019_33_RIGHT</v>
      </c>
      <c r="E44" t="str">
        <f ca="1">OFFSET(Syntheses!$B$8,MOD(ROW('UV quantification'!B77)-ROW('UV quantification'!$B$36),8),QUOTIENT(ROW('UV quantification'!B77)-ROW('UV quantification'!$B$36),8))</f>
        <v>TGGACAGTAAACTACGTCATCAAGC</v>
      </c>
      <c r="F44">
        <f t="shared" ca="1" si="5"/>
        <v>25</v>
      </c>
      <c r="G44">
        <v>1</v>
      </c>
      <c r="H44" t="s">
        <v>72</v>
      </c>
      <c r="I44" s="165" t="s">
        <v>513</v>
      </c>
      <c r="J44" s="39">
        <f t="shared" ca="1" si="6"/>
        <v>0</v>
      </c>
      <c r="K44">
        <f t="shared" ca="1" si="8"/>
        <v>0</v>
      </c>
      <c r="L44">
        <f t="shared" ca="1" si="8"/>
        <v>0</v>
      </c>
      <c r="M44">
        <f t="shared" ca="1" si="8"/>
        <v>0</v>
      </c>
      <c r="N44" s="165">
        <f t="shared" ca="1" si="7"/>
        <v>0</v>
      </c>
      <c r="O44" s="166" t="str">
        <f>General!$B$1</f>
        <v>200504_P1_HL_ncov2019_Pool1</v>
      </c>
      <c r="P44" t="e">
        <f ca="1">OFFSET('UV quantification'!$B$36,MOD(ROW('UV quantification'!B77)-ROW('UV quantification'!$B$36),8),QUOTIENT(ROW('UV quantification'!B77)-ROW('UV quantification'!$B$36),8))</f>
        <v>#DIV/0!</v>
      </c>
      <c r="Q44" t="e">
        <f ca="1">OFFSET('UV quantification'!$B$26,MOD(ROW('UV quantification'!B77)-ROW('UV quantification'!$B$36),8),QUOTIENT(ROW('UV quantification'!B77)-ROW('UV quantification'!$B$36),8))</f>
        <v>#DIV/0!</v>
      </c>
      <c r="R44">
        <f ca="1">OFFSET('OP2'!$B$30,MOD(ROW('UV quantification'!B77)-ROW('UV quantification'!$B$36),8),QUOTIENT(ROW('UV quantification'!B77)-ROW('UV quantification'!$B$36),8))</f>
        <v>0</v>
      </c>
      <c r="T44" s="165"/>
    </row>
    <row r="45" spans="1:20" x14ac:dyDescent="0.35">
      <c r="A45" s="39" t="s">
        <v>516</v>
      </c>
      <c r="B45">
        <v>43</v>
      </c>
      <c r="C45" t="s">
        <v>517</v>
      </c>
      <c r="D45" t="str">
        <f ca="1">OFFSET(Syntheses!$B$19,MOD(ROW('UV quantification'!B78)-ROW('UV quantification'!$B$36),8),QUOTIENT(ROW('UV quantification'!B78)-ROW('UV quantification'!$B$36),8))</f>
        <v>nCoV-2019_35_LEFT</v>
      </c>
      <c r="E45" t="str">
        <f ca="1">OFFSET(Syntheses!$B$8,MOD(ROW('UV quantification'!B78)-ROW('UV quantification'!$B$36),8),QUOTIENT(ROW('UV quantification'!B78)-ROW('UV quantification'!$B$36),8))</f>
        <v>TGTTCGCATTCAACCAGGACAG</v>
      </c>
      <c r="F45">
        <f t="shared" ca="1" si="5"/>
        <v>22</v>
      </c>
      <c r="G45">
        <v>1</v>
      </c>
      <c r="H45" t="s">
        <v>85</v>
      </c>
      <c r="I45" s="165" t="s">
        <v>513</v>
      </c>
      <c r="J45" s="39">
        <f t="shared" ca="1" si="6"/>
        <v>0</v>
      </c>
      <c r="K45">
        <f t="shared" ca="1" si="8"/>
        <v>0</v>
      </c>
      <c r="L45">
        <f t="shared" ca="1" si="8"/>
        <v>0</v>
      </c>
      <c r="M45">
        <f t="shared" ca="1" si="8"/>
        <v>0</v>
      </c>
      <c r="N45" s="165">
        <f t="shared" ca="1" si="7"/>
        <v>0</v>
      </c>
      <c r="O45" s="166" t="str">
        <f>General!$B$1</f>
        <v>200504_P1_HL_ncov2019_Pool1</v>
      </c>
      <c r="P45" t="e">
        <f ca="1">OFFSET('UV quantification'!$B$36,MOD(ROW('UV quantification'!B78)-ROW('UV quantification'!$B$36),8),QUOTIENT(ROW('UV quantification'!B78)-ROW('UV quantification'!$B$36),8))</f>
        <v>#DIV/0!</v>
      </c>
      <c r="Q45" t="e">
        <f ca="1">OFFSET('UV quantification'!$B$26,MOD(ROW('UV quantification'!B78)-ROW('UV quantification'!$B$36),8),QUOTIENT(ROW('UV quantification'!B78)-ROW('UV quantification'!$B$36),8))</f>
        <v>#DIV/0!</v>
      </c>
      <c r="R45">
        <f ca="1">OFFSET('OP2'!$B$30,MOD(ROW('UV quantification'!B78)-ROW('UV quantification'!$B$36),8),QUOTIENT(ROW('UV quantification'!B78)-ROW('UV quantification'!$B$36),8))</f>
        <v>0</v>
      </c>
      <c r="T45" s="165"/>
    </row>
    <row r="46" spans="1:20" x14ac:dyDescent="0.35">
      <c r="A46" s="39" t="s">
        <v>518</v>
      </c>
      <c r="B46">
        <v>44</v>
      </c>
      <c r="C46" t="s">
        <v>519</v>
      </c>
      <c r="D46" t="str">
        <f ca="1">OFFSET(Syntheses!$B$19,MOD(ROW('UV quantification'!B79)-ROW('UV quantification'!$B$36),8),QUOTIENT(ROW('UV quantification'!B79)-ROW('UV quantification'!$B$36),8))</f>
        <v>nCoV-2019_35_RIGHT</v>
      </c>
      <c r="E46" t="str">
        <f ca="1">OFFSET(Syntheses!$B$8,MOD(ROW('UV quantification'!B79)-ROW('UV quantification'!$B$36),8),QUOTIENT(ROW('UV quantification'!B79)-ROW('UV quantification'!$B$36),8))</f>
        <v>ACTTCATAGCCACAAGGTTAAAGTCA</v>
      </c>
      <c r="F46">
        <f t="shared" ca="1" si="5"/>
        <v>26</v>
      </c>
      <c r="G46">
        <v>1</v>
      </c>
      <c r="H46" t="s">
        <v>98</v>
      </c>
      <c r="I46" s="165" t="s">
        <v>513</v>
      </c>
      <c r="J46" s="39">
        <f t="shared" ca="1" si="6"/>
        <v>0</v>
      </c>
      <c r="K46">
        <f t="shared" ca="1" si="8"/>
        <v>0</v>
      </c>
      <c r="L46">
        <f t="shared" ca="1" si="8"/>
        <v>0</v>
      </c>
      <c r="M46">
        <f t="shared" ca="1" si="8"/>
        <v>0</v>
      </c>
      <c r="N46" s="165">
        <f t="shared" ca="1" si="7"/>
        <v>0</v>
      </c>
      <c r="O46" s="166" t="str">
        <f>General!$B$1</f>
        <v>200504_P1_HL_ncov2019_Pool1</v>
      </c>
      <c r="P46" t="e">
        <f ca="1">OFFSET('UV quantification'!$B$36,MOD(ROW('UV quantification'!B79)-ROW('UV quantification'!$B$36),8),QUOTIENT(ROW('UV quantification'!B79)-ROW('UV quantification'!$B$36),8))</f>
        <v>#DIV/0!</v>
      </c>
      <c r="Q46" t="e">
        <f ca="1">OFFSET('UV quantification'!$B$26,MOD(ROW('UV quantification'!B79)-ROW('UV quantification'!$B$36),8),QUOTIENT(ROW('UV quantification'!B79)-ROW('UV quantification'!$B$36),8))</f>
        <v>#DIV/0!</v>
      </c>
      <c r="R46">
        <f ca="1">OFFSET('OP2'!$B$30,MOD(ROW('UV quantification'!B79)-ROW('UV quantification'!$B$36),8),QUOTIENT(ROW('UV quantification'!B79)-ROW('UV quantification'!$B$36),8))</f>
        <v>0</v>
      </c>
      <c r="T46" s="165"/>
    </row>
    <row r="47" spans="1:20" x14ac:dyDescent="0.35">
      <c r="A47" s="39" t="s">
        <v>520</v>
      </c>
      <c r="B47">
        <v>45</v>
      </c>
      <c r="C47" t="s">
        <v>521</v>
      </c>
      <c r="D47" t="str">
        <f ca="1">OFFSET(Syntheses!$B$19,MOD(ROW('UV quantification'!B80)-ROW('UV quantification'!$B$36),8),QUOTIENT(ROW('UV quantification'!B80)-ROW('UV quantification'!$B$36),8))</f>
        <v>nCoV-2019_37_LEFT</v>
      </c>
      <c r="E47" t="str">
        <f ca="1">OFFSET(Syntheses!$B$8,MOD(ROW('UV quantification'!B80)-ROW('UV quantification'!$B$36),8),QUOTIENT(ROW('UV quantification'!B80)-ROW('UV quantification'!$B$36),8))</f>
        <v>ACACACCACTGGTTGTTACTCAC</v>
      </c>
      <c r="F47">
        <f t="shared" ca="1" si="5"/>
        <v>23</v>
      </c>
      <c r="G47">
        <v>1</v>
      </c>
      <c r="H47" t="s">
        <v>111</v>
      </c>
      <c r="I47" s="165" t="s">
        <v>513</v>
      </c>
      <c r="J47" s="39">
        <f t="shared" ca="1" si="6"/>
        <v>0</v>
      </c>
      <c r="K47">
        <f t="shared" ca="1" si="8"/>
        <v>0</v>
      </c>
      <c r="L47">
        <f t="shared" ca="1" si="8"/>
        <v>0</v>
      </c>
      <c r="M47">
        <f t="shared" ca="1" si="8"/>
        <v>0</v>
      </c>
      <c r="N47" s="165">
        <f t="shared" ca="1" si="7"/>
        <v>0</v>
      </c>
      <c r="O47" s="166" t="str">
        <f>General!$B$1</f>
        <v>200504_P1_HL_ncov2019_Pool1</v>
      </c>
      <c r="P47" t="e">
        <f ca="1">OFFSET('UV quantification'!$B$36,MOD(ROW('UV quantification'!B80)-ROW('UV quantification'!$B$36),8),QUOTIENT(ROW('UV quantification'!B80)-ROW('UV quantification'!$B$36),8))</f>
        <v>#DIV/0!</v>
      </c>
      <c r="Q47" t="e">
        <f ca="1">OFFSET('UV quantification'!$B$26,MOD(ROW('UV quantification'!B80)-ROW('UV quantification'!$B$36),8),QUOTIENT(ROW('UV quantification'!B80)-ROW('UV quantification'!$B$36),8))</f>
        <v>#DIV/0!</v>
      </c>
      <c r="R47">
        <f ca="1">OFFSET('OP2'!$B$30,MOD(ROW('UV quantification'!B80)-ROW('UV quantification'!$B$36),8),QUOTIENT(ROW('UV quantification'!B80)-ROW('UV quantification'!$B$36),8))</f>
        <v>0</v>
      </c>
      <c r="T47" s="165"/>
    </row>
    <row r="48" spans="1:20" x14ac:dyDescent="0.35">
      <c r="A48" s="39" t="s">
        <v>522</v>
      </c>
      <c r="B48">
        <v>46</v>
      </c>
      <c r="C48" t="s">
        <v>523</v>
      </c>
      <c r="D48" t="str">
        <f ca="1">OFFSET(Syntheses!$B$19,MOD(ROW('UV quantification'!B81)-ROW('UV quantification'!$B$36),8),QUOTIENT(ROW('UV quantification'!B81)-ROW('UV quantification'!$B$36),8))</f>
        <v>nCoV-2019_37_RIGHT</v>
      </c>
      <c r="E48" t="str">
        <f ca="1">OFFSET(Syntheses!$B$8,MOD(ROW('UV quantification'!B81)-ROW('UV quantification'!$B$36),8),QUOTIENT(ROW('UV quantification'!B81)-ROW('UV quantification'!$B$36),8))</f>
        <v>GTCCACACTCTCCTAGCACCAT</v>
      </c>
      <c r="F48">
        <f t="shared" ca="1" si="5"/>
        <v>22</v>
      </c>
      <c r="G48">
        <v>1</v>
      </c>
      <c r="H48" t="s">
        <v>124</v>
      </c>
      <c r="I48" s="165" t="s">
        <v>513</v>
      </c>
      <c r="J48" s="39">
        <f t="shared" ca="1" si="6"/>
        <v>1</v>
      </c>
      <c r="K48">
        <f t="shared" ca="1" si="8"/>
        <v>0</v>
      </c>
      <c r="L48">
        <f t="shared" ca="1" si="8"/>
        <v>1</v>
      </c>
      <c r="M48">
        <f t="shared" ca="1" si="8"/>
        <v>0</v>
      </c>
      <c r="N48" s="165">
        <f t="shared" ca="1" si="7"/>
        <v>0</v>
      </c>
      <c r="O48" s="166" t="str">
        <f>General!$B$1</f>
        <v>200504_P1_HL_ncov2019_Pool1</v>
      </c>
      <c r="P48" t="e">
        <f ca="1">OFFSET('UV quantification'!$B$36,MOD(ROW('UV quantification'!B81)-ROW('UV quantification'!$B$36),8),QUOTIENT(ROW('UV quantification'!B81)-ROW('UV quantification'!$B$36),8))</f>
        <v>#DIV/0!</v>
      </c>
      <c r="Q48" t="e">
        <f ca="1">OFFSET('UV quantification'!$B$26,MOD(ROW('UV quantification'!B81)-ROW('UV quantification'!$B$36),8),QUOTIENT(ROW('UV quantification'!B81)-ROW('UV quantification'!$B$36),8))</f>
        <v>#DIV/0!</v>
      </c>
      <c r="R48">
        <f ca="1">OFFSET('OP2'!$B$30,MOD(ROW('UV quantification'!B81)-ROW('UV quantification'!$B$36),8),QUOTIENT(ROW('UV quantification'!B81)-ROW('UV quantification'!$B$36),8))</f>
        <v>0</v>
      </c>
      <c r="T48" s="165"/>
    </row>
    <row r="49" spans="1:20" x14ac:dyDescent="0.35">
      <c r="A49" s="39" t="s">
        <v>524</v>
      </c>
      <c r="B49">
        <v>47</v>
      </c>
      <c r="C49" t="s">
        <v>525</v>
      </c>
      <c r="D49" t="str">
        <f ca="1">OFFSET(Syntheses!$B$19,MOD(ROW('UV quantification'!B82)-ROW('UV quantification'!$B$36),8),QUOTIENT(ROW('UV quantification'!B82)-ROW('UV quantification'!$B$36),8))</f>
        <v>nCoV-2019_39_LEFT</v>
      </c>
      <c r="E49" t="str">
        <f ca="1">OFFSET(Syntheses!$B$8,MOD(ROW('UV quantification'!B82)-ROW('UV quantification'!$B$36),8),QUOTIENT(ROW('UV quantification'!B82)-ROW('UV quantification'!$B$36),8))</f>
        <v>AGTATTGCCCTATTTTCTTCATAACTGGT</v>
      </c>
      <c r="F49">
        <f t="shared" ca="1" si="5"/>
        <v>29</v>
      </c>
      <c r="G49">
        <v>1</v>
      </c>
      <c r="H49" t="s">
        <v>137</v>
      </c>
      <c r="I49" s="165" t="s">
        <v>513</v>
      </c>
      <c r="J49" s="39">
        <f t="shared" ca="1" si="6"/>
        <v>1</v>
      </c>
      <c r="K49">
        <f t="shared" ca="1" si="8"/>
        <v>0</v>
      </c>
      <c r="L49">
        <f t="shared" ca="1" si="8"/>
        <v>1</v>
      </c>
      <c r="M49">
        <f t="shared" ca="1" si="8"/>
        <v>0</v>
      </c>
      <c r="N49" s="165">
        <f t="shared" ca="1" si="7"/>
        <v>0</v>
      </c>
      <c r="O49" s="166" t="str">
        <f>General!$B$1</f>
        <v>200504_P1_HL_ncov2019_Pool1</v>
      </c>
      <c r="P49" t="e">
        <f ca="1">OFFSET('UV quantification'!$B$36,MOD(ROW('UV quantification'!B82)-ROW('UV quantification'!$B$36),8),QUOTIENT(ROW('UV quantification'!B82)-ROW('UV quantification'!$B$36),8))</f>
        <v>#DIV/0!</v>
      </c>
      <c r="Q49" t="e">
        <f ca="1">OFFSET('UV quantification'!$B$26,MOD(ROW('UV quantification'!B82)-ROW('UV quantification'!$B$36),8),QUOTIENT(ROW('UV quantification'!B82)-ROW('UV quantification'!$B$36),8))</f>
        <v>#DIV/0!</v>
      </c>
      <c r="R49">
        <f ca="1">OFFSET('OP2'!$B$30,MOD(ROW('UV quantification'!B82)-ROW('UV quantification'!$B$36),8),QUOTIENT(ROW('UV quantification'!B82)-ROW('UV quantification'!$B$36),8))</f>
        <v>0</v>
      </c>
      <c r="T49" s="165"/>
    </row>
    <row r="50" spans="1:20" x14ac:dyDescent="0.35">
      <c r="A50" s="39" t="s">
        <v>526</v>
      </c>
      <c r="B50">
        <v>48</v>
      </c>
      <c r="C50" t="s">
        <v>527</v>
      </c>
      <c r="D50" t="str">
        <f ca="1">OFFSET(Syntheses!$B$19,MOD(ROW('UV quantification'!B83)-ROW('UV quantification'!$B$36),8),QUOTIENT(ROW('UV quantification'!B83)-ROW('UV quantification'!$B$36),8))</f>
        <v>nCoV-2019_39_RIGHT</v>
      </c>
      <c r="E50" t="str">
        <f ca="1">OFFSET(Syntheses!$B$8,MOD(ROW('UV quantification'!B83)-ROW('UV quantification'!$B$36),8),QUOTIENT(ROW('UV quantification'!B83)-ROW('UV quantification'!$B$36),8))</f>
        <v>TGTAACTGGACACATTGAGCCC</v>
      </c>
      <c r="F50">
        <f t="shared" ca="1" si="5"/>
        <v>22</v>
      </c>
      <c r="G50">
        <v>1</v>
      </c>
      <c r="H50" t="s">
        <v>150</v>
      </c>
      <c r="I50" s="165" t="s">
        <v>513</v>
      </c>
      <c r="J50" s="39">
        <f t="shared" ca="1" si="6"/>
        <v>0</v>
      </c>
      <c r="K50">
        <f t="shared" ca="1" si="8"/>
        <v>0</v>
      </c>
      <c r="L50">
        <f t="shared" ca="1" si="8"/>
        <v>0</v>
      </c>
      <c r="M50">
        <f t="shared" ca="1" si="8"/>
        <v>0</v>
      </c>
      <c r="N50" s="165">
        <f t="shared" ca="1" si="7"/>
        <v>0</v>
      </c>
      <c r="O50" s="166" t="str">
        <f>General!$B$1</f>
        <v>200504_P1_HL_ncov2019_Pool1</v>
      </c>
      <c r="P50" t="e">
        <f ca="1">OFFSET('UV quantification'!$B$36,MOD(ROW('UV quantification'!B83)-ROW('UV quantification'!$B$36),8),QUOTIENT(ROW('UV quantification'!B83)-ROW('UV quantification'!$B$36),8))</f>
        <v>#DIV/0!</v>
      </c>
      <c r="Q50" t="e">
        <f ca="1">OFFSET('UV quantification'!$B$26,MOD(ROW('UV quantification'!B83)-ROW('UV quantification'!$B$36),8),QUOTIENT(ROW('UV quantification'!B83)-ROW('UV quantification'!$B$36),8))</f>
        <v>#DIV/0!</v>
      </c>
      <c r="R50">
        <f ca="1">OFFSET('OP2'!$B$30,MOD(ROW('UV quantification'!B83)-ROW('UV quantification'!$B$36),8),QUOTIENT(ROW('UV quantification'!B83)-ROW('UV quantification'!$B$36),8))</f>
        <v>0</v>
      </c>
      <c r="T50" s="165"/>
    </row>
    <row r="51" spans="1:20" x14ac:dyDescent="0.35">
      <c r="A51" s="39" t="s">
        <v>528</v>
      </c>
      <c r="B51">
        <v>49</v>
      </c>
      <c r="C51" t="s">
        <v>529</v>
      </c>
      <c r="D51" t="str">
        <f ca="1">OFFSET(Syntheses!$B$19,MOD(ROW('UV quantification'!B84)-ROW('UV quantification'!$B$36),8),QUOTIENT(ROW('UV quantification'!B84)-ROW('UV quantification'!$B$36),8))</f>
        <v>nCoV-2019_41_LEFT</v>
      </c>
      <c r="E51" t="str">
        <f ca="1">OFFSET(Syntheses!$B$8,MOD(ROW('UV quantification'!B84)-ROW('UV quantification'!$B$36),8),QUOTIENT(ROW('UV quantification'!B84)-ROW('UV quantification'!$B$36),8))</f>
        <v>GTTCCCTTCCATCATATGCAGCT</v>
      </c>
      <c r="F51">
        <f t="shared" ca="1" si="5"/>
        <v>23</v>
      </c>
      <c r="G51">
        <v>1</v>
      </c>
      <c r="H51" t="s">
        <v>59</v>
      </c>
      <c r="I51" s="165" t="s">
        <v>530</v>
      </c>
      <c r="J51" s="39">
        <f t="shared" ca="1" si="6"/>
        <v>0</v>
      </c>
      <c r="K51">
        <f t="shared" ca="1" si="8"/>
        <v>0</v>
      </c>
      <c r="L51">
        <f t="shared" ca="1" si="8"/>
        <v>0</v>
      </c>
      <c r="M51">
        <f t="shared" ca="1" si="8"/>
        <v>0</v>
      </c>
      <c r="N51" s="165">
        <f t="shared" ca="1" si="7"/>
        <v>0</v>
      </c>
      <c r="O51" s="166" t="str">
        <f>General!$B$1</f>
        <v>200504_P1_HL_ncov2019_Pool1</v>
      </c>
      <c r="P51" t="e">
        <f ca="1">OFFSET('UV quantification'!$B$36,MOD(ROW('UV quantification'!B84)-ROW('UV quantification'!$B$36),8),QUOTIENT(ROW('UV quantification'!B84)-ROW('UV quantification'!$B$36),8))</f>
        <v>#DIV/0!</v>
      </c>
      <c r="Q51" t="e">
        <f ca="1">OFFSET('UV quantification'!$B$26,MOD(ROW('UV quantification'!B84)-ROW('UV quantification'!$B$36),8),QUOTIENT(ROW('UV quantification'!B84)-ROW('UV quantification'!$B$36),8))</f>
        <v>#DIV/0!</v>
      </c>
      <c r="R51">
        <f ca="1">OFFSET('OP2'!$B$30,MOD(ROW('UV quantification'!B84)-ROW('UV quantification'!$B$36),8),QUOTIENT(ROW('UV quantification'!B84)-ROW('UV quantification'!$B$36),8))</f>
        <v>0</v>
      </c>
      <c r="T51" s="165"/>
    </row>
    <row r="52" spans="1:20" x14ac:dyDescent="0.35">
      <c r="A52" s="39" t="s">
        <v>531</v>
      </c>
      <c r="B52">
        <v>50</v>
      </c>
      <c r="C52" t="s">
        <v>532</v>
      </c>
      <c r="D52" t="str">
        <f ca="1">OFFSET(Syntheses!$B$19,MOD(ROW('UV quantification'!B85)-ROW('UV quantification'!$B$36),8),QUOTIENT(ROW('UV quantification'!B85)-ROW('UV quantification'!$B$36),8))</f>
        <v>nCoV-2019_41_RIGHT</v>
      </c>
      <c r="E52" t="str">
        <f ca="1">OFFSET(Syntheses!$B$8,MOD(ROW('UV quantification'!B85)-ROW('UV quantification'!$B$36),8),QUOTIENT(ROW('UV quantification'!B85)-ROW('UV quantification'!$B$36),8))</f>
        <v>TGGTATGACAACCATTAGTTTGGCT</v>
      </c>
      <c r="F52">
        <f t="shared" ca="1" si="5"/>
        <v>25</v>
      </c>
      <c r="G52">
        <v>1</v>
      </c>
      <c r="H52" t="s">
        <v>72</v>
      </c>
      <c r="I52" s="165" t="s">
        <v>530</v>
      </c>
      <c r="J52" s="39">
        <f t="shared" ca="1" si="6"/>
        <v>0</v>
      </c>
      <c r="K52">
        <f t="shared" ca="1" si="8"/>
        <v>0</v>
      </c>
      <c r="L52">
        <f t="shared" ca="1" si="8"/>
        <v>0</v>
      </c>
      <c r="M52">
        <f t="shared" ca="1" si="8"/>
        <v>0</v>
      </c>
      <c r="N52" s="165">
        <f t="shared" ca="1" si="7"/>
        <v>0</v>
      </c>
      <c r="O52" s="166" t="str">
        <f>General!$B$1</f>
        <v>200504_P1_HL_ncov2019_Pool1</v>
      </c>
      <c r="P52" t="e">
        <f ca="1">OFFSET('UV quantification'!$B$36,MOD(ROW('UV quantification'!B85)-ROW('UV quantification'!$B$36),8),QUOTIENT(ROW('UV quantification'!B85)-ROW('UV quantification'!$B$36),8))</f>
        <v>#DIV/0!</v>
      </c>
      <c r="Q52" t="e">
        <f ca="1">OFFSET('UV quantification'!$B$26,MOD(ROW('UV quantification'!B85)-ROW('UV quantification'!$B$36),8),QUOTIENT(ROW('UV quantification'!B85)-ROW('UV quantification'!$B$36),8))</f>
        <v>#DIV/0!</v>
      </c>
      <c r="R52">
        <f ca="1">OFFSET('OP2'!$B$30,MOD(ROW('UV quantification'!B85)-ROW('UV quantification'!$B$36),8),QUOTIENT(ROW('UV quantification'!B85)-ROW('UV quantification'!$B$36),8))</f>
        <v>0</v>
      </c>
      <c r="T52" s="165"/>
    </row>
    <row r="53" spans="1:20" x14ac:dyDescent="0.35">
      <c r="A53" s="39" t="s">
        <v>533</v>
      </c>
      <c r="B53">
        <v>51</v>
      </c>
      <c r="C53" t="s">
        <v>534</v>
      </c>
      <c r="D53" t="str">
        <f ca="1">OFFSET(Syntheses!$B$19,MOD(ROW('UV quantification'!B86)-ROW('UV quantification'!$B$36),8),QUOTIENT(ROW('UV quantification'!B86)-ROW('UV quantification'!$B$36),8))</f>
        <v>nCoV-2019_43_LEFT</v>
      </c>
      <c r="E53" t="str">
        <f ca="1">OFFSET(Syntheses!$B$8,MOD(ROW('UV quantification'!B86)-ROW('UV quantification'!$B$36),8),QUOTIENT(ROW('UV quantification'!B86)-ROW('UV quantification'!$B$36),8))</f>
        <v>TACGACAGATGTCTTGTGCTGC</v>
      </c>
      <c r="F53">
        <f t="shared" ca="1" si="5"/>
        <v>22</v>
      </c>
      <c r="G53">
        <v>1</v>
      </c>
      <c r="H53" t="s">
        <v>85</v>
      </c>
      <c r="I53" s="165" t="s">
        <v>530</v>
      </c>
      <c r="J53" s="39">
        <f t="shared" ca="1" si="6"/>
        <v>0</v>
      </c>
      <c r="K53">
        <f t="shared" ca="1" si="8"/>
        <v>0</v>
      </c>
      <c r="L53">
        <f t="shared" ca="1" si="8"/>
        <v>0</v>
      </c>
      <c r="M53">
        <f t="shared" ca="1" si="8"/>
        <v>0</v>
      </c>
      <c r="N53" s="165">
        <f t="shared" ca="1" si="7"/>
        <v>0</v>
      </c>
      <c r="O53" s="166" t="str">
        <f>General!$B$1</f>
        <v>200504_P1_HL_ncov2019_Pool1</v>
      </c>
      <c r="P53" t="e">
        <f ca="1">OFFSET('UV quantification'!$B$36,MOD(ROW('UV quantification'!B86)-ROW('UV quantification'!$B$36),8),QUOTIENT(ROW('UV quantification'!B86)-ROW('UV quantification'!$B$36),8))</f>
        <v>#DIV/0!</v>
      </c>
      <c r="Q53" t="e">
        <f ca="1">OFFSET('UV quantification'!$B$26,MOD(ROW('UV quantification'!B86)-ROW('UV quantification'!$B$36),8),QUOTIENT(ROW('UV quantification'!B86)-ROW('UV quantification'!$B$36),8))</f>
        <v>#DIV/0!</v>
      </c>
      <c r="R53">
        <f ca="1">OFFSET('OP2'!$B$30,MOD(ROW('UV quantification'!B86)-ROW('UV quantification'!$B$36),8),QUOTIENT(ROW('UV quantification'!B86)-ROW('UV quantification'!$B$36),8))</f>
        <v>0</v>
      </c>
      <c r="T53" s="165"/>
    </row>
    <row r="54" spans="1:20" x14ac:dyDescent="0.35">
      <c r="A54" s="39" t="s">
        <v>535</v>
      </c>
      <c r="B54">
        <v>52</v>
      </c>
      <c r="C54" t="s">
        <v>536</v>
      </c>
      <c r="D54" t="str">
        <f ca="1">OFFSET(Syntheses!$B$19,MOD(ROW('UV quantification'!B87)-ROW('UV quantification'!$B$36),8),QUOTIENT(ROW('UV quantification'!B87)-ROW('UV quantification'!$B$36),8))</f>
        <v>nCoV-2019_43_RIGHT</v>
      </c>
      <c r="E54" t="str">
        <f ca="1">OFFSET(Syntheses!$B$8,MOD(ROW('UV quantification'!B87)-ROW('UV quantification'!$B$36),8),QUOTIENT(ROW('UV quantification'!B87)-ROW('UV quantification'!$B$36),8))</f>
        <v>AGCAGCATCTACAGCAAAAGCA</v>
      </c>
      <c r="F54">
        <f t="shared" ca="1" si="5"/>
        <v>22</v>
      </c>
      <c r="G54">
        <v>1</v>
      </c>
      <c r="H54" t="s">
        <v>98</v>
      </c>
      <c r="I54" s="165" t="s">
        <v>530</v>
      </c>
      <c r="J54" s="39">
        <f t="shared" ca="1" si="6"/>
        <v>0</v>
      </c>
      <c r="K54">
        <f t="shared" ca="1" si="8"/>
        <v>0</v>
      </c>
      <c r="L54">
        <f t="shared" ca="1" si="8"/>
        <v>0</v>
      </c>
      <c r="M54">
        <f t="shared" ca="1" si="8"/>
        <v>0</v>
      </c>
      <c r="N54" s="165">
        <f t="shared" ca="1" si="7"/>
        <v>0</v>
      </c>
      <c r="O54" s="166" t="str">
        <f>General!$B$1</f>
        <v>200504_P1_HL_ncov2019_Pool1</v>
      </c>
      <c r="P54" t="e">
        <f ca="1">OFFSET('UV quantification'!$B$36,MOD(ROW('UV quantification'!B87)-ROW('UV quantification'!$B$36),8),QUOTIENT(ROW('UV quantification'!B87)-ROW('UV quantification'!$B$36),8))</f>
        <v>#DIV/0!</v>
      </c>
      <c r="Q54" t="e">
        <f ca="1">OFFSET('UV quantification'!$B$26,MOD(ROW('UV quantification'!B87)-ROW('UV quantification'!$B$36),8),QUOTIENT(ROW('UV quantification'!B87)-ROW('UV quantification'!$B$36),8))</f>
        <v>#DIV/0!</v>
      </c>
      <c r="R54">
        <f ca="1">OFFSET('OP2'!$B$30,MOD(ROW('UV quantification'!B87)-ROW('UV quantification'!$B$36),8),QUOTIENT(ROW('UV quantification'!B87)-ROW('UV quantification'!$B$36),8))</f>
        <v>0</v>
      </c>
      <c r="T54" s="165"/>
    </row>
    <row r="55" spans="1:20" x14ac:dyDescent="0.35">
      <c r="A55" s="39" t="s">
        <v>537</v>
      </c>
      <c r="B55">
        <v>53</v>
      </c>
      <c r="C55" t="s">
        <v>538</v>
      </c>
      <c r="D55" t="str">
        <f ca="1">OFFSET(Syntheses!$B$19,MOD(ROW('UV quantification'!B88)-ROW('UV quantification'!$B$36),8),QUOTIENT(ROW('UV quantification'!B88)-ROW('UV quantification'!$B$36),8))</f>
        <v>nCoV-2019_45_LEFT</v>
      </c>
      <c r="E55" t="str">
        <f ca="1">OFFSET(Syntheses!$B$8,MOD(ROW('UV quantification'!B88)-ROW('UV quantification'!$B$36),8),QUOTIENT(ROW('UV quantification'!B88)-ROW('UV quantification'!$B$36),8))</f>
        <v>TACCTACAACTTGTGCTAATGACCC</v>
      </c>
      <c r="F55">
        <f t="shared" ca="1" si="5"/>
        <v>25</v>
      </c>
      <c r="G55">
        <v>1</v>
      </c>
      <c r="H55" t="s">
        <v>111</v>
      </c>
      <c r="I55" s="165" t="s">
        <v>530</v>
      </c>
      <c r="J55" s="39">
        <f t="shared" ca="1" si="6"/>
        <v>1</v>
      </c>
      <c r="K55">
        <f t="shared" ca="1" si="8"/>
        <v>0</v>
      </c>
      <c r="L55">
        <f t="shared" ca="1" si="8"/>
        <v>1</v>
      </c>
      <c r="M55">
        <f t="shared" ca="1" si="8"/>
        <v>0</v>
      </c>
      <c r="N55" s="165">
        <f t="shared" ca="1" si="7"/>
        <v>0</v>
      </c>
      <c r="O55" s="166" t="str">
        <f>General!$B$1</f>
        <v>200504_P1_HL_ncov2019_Pool1</v>
      </c>
      <c r="P55" t="e">
        <f ca="1">OFFSET('UV quantification'!$B$36,MOD(ROW('UV quantification'!B88)-ROW('UV quantification'!$B$36),8),QUOTIENT(ROW('UV quantification'!B88)-ROW('UV quantification'!$B$36),8))</f>
        <v>#DIV/0!</v>
      </c>
      <c r="Q55" t="e">
        <f ca="1">OFFSET('UV quantification'!$B$26,MOD(ROW('UV quantification'!B88)-ROW('UV quantification'!$B$36),8),QUOTIENT(ROW('UV quantification'!B88)-ROW('UV quantification'!$B$36),8))</f>
        <v>#DIV/0!</v>
      </c>
      <c r="R55">
        <f ca="1">OFFSET('OP2'!$B$30,MOD(ROW('UV quantification'!B88)-ROW('UV quantification'!$B$36),8),QUOTIENT(ROW('UV quantification'!B88)-ROW('UV quantification'!$B$36),8))</f>
        <v>0</v>
      </c>
      <c r="T55" s="165"/>
    </row>
    <row r="56" spans="1:20" x14ac:dyDescent="0.35">
      <c r="A56" s="39" t="s">
        <v>539</v>
      </c>
      <c r="B56">
        <v>54</v>
      </c>
      <c r="C56" t="s">
        <v>540</v>
      </c>
      <c r="D56" t="str">
        <f ca="1">OFFSET(Syntheses!$B$19,MOD(ROW('UV quantification'!B89)-ROW('UV quantification'!$B$36),8),QUOTIENT(ROW('UV quantification'!B89)-ROW('UV quantification'!$B$36),8))</f>
        <v>nCoV-2019_45_LEFT_alt2</v>
      </c>
      <c r="E56" t="str">
        <f ca="1">OFFSET(Syntheses!$B$8,MOD(ROW('UV quantification'!B89)-ROW('UV quantification'!$B$36),8),QUOTIENT(ROW('UV quantification'!B89)-ROW('UV quantification'!$B$36),8))</f>
        <v>AGTATGTACAAATACCTACAACTTGTGCT</v>
      </c>
      <c r="F56">
        <f t="shared" ca="1" si="5"/>
        <v>29</v>
      </c>
      <c r="G56">
        <v>1</v>
      </c>
      <c r="H56" t="s">
        <v>124</v>
      </c>
      <c r="I56" s="165" t="s">
        <v>530</v>
      </c>
      <c r="J56" s="39">
        <f t="shared" ca="1" si="6"/>
        <v>1</v>
      </c>
      <c r="K56">
        <f t="shared" ca="1" si="8"/>
        <v>0</v>
      </c>
      <c r="L56">
        <f t="shared" ca="1" si="8"/>
        <v>1</v>
      </c>
      <c r="M56">
        <f t="shared" ca="1" si="8"/>
        <v>0</v>
      </c>
      <c r="N56" s="165">
        <f t="shared" ca="1" si="7"/>
        <v>0</v>
      </c>
      <c r="O56" s="166" t="str">
        <f>General!$B$1</f>
        <v>200504_P1_HL_ncov2019_Pool1</v>
      </c>
      <c r="P56" t="e">
        <f ca="1">OFFSET('UV quantification'!$B$36,MOD(ROW('UV quantification'!B89)-ROW('UV quantification'!$B$36),8),QUOTIENT(ROW('UV quantification'!B89)-ROW('UV quantification'!$B$36),8))</f>
        <v>#DIV/0!</v>
      </c>
      <c r="Q56" t="e">
        <f ca="1">OFFSET('UV quantification'!$B$26,MOD(ROW('UV quantification'!B89)-ROW('UV quantification'!$B$36),8),QUOTIENT(ROW('UV quantification'!B89)-ROW('UV quantification'!$B$36),8))</f>
        <v>#DIV/0!</v>
      </c>
      <c r="R56">
        <f ca="1">OFFSET('OP2'!$B$30,MOD(ROW('UV quantification'!B89)-ROW('UV quantification'!$B$36),8),QUOTIENT(ROW('UV quantification'!B89)-ROW('UV quantification'!$B$36),8))</f>
        <v>0</v>
      </c>
      <c r="T56" s="165"/>
    </row>
    <row r="57" spans="1:20" x14ac:dyDescent="0.35">
      <c r="A57" s="39" t="s">
        <v>541</v>
      </c>
      <c r="B57">
        <v>55</v>
      </c>
      <c r="C57" t="s">
        <v>542</v>
      </c>
      <c r="D57" t="str">
        <f ca="1">OFFSET(Syntheses!$B$19,MOD(ROW('UV quantification'!B90)-ROW('UV quantification'!$B$36),8),QUOTIENT(ROW('UV quantification'!B90)-ROW('UV quantification'!$B$36),8))</f>
        <v>nCoV-2019_45_RIGHT</v>
      </c>
      <c r="E57" t="str">
        <f ca="1">OFFSET(Syntheses!$B$8,MOD(ROW('UV quantification'!B90)-ROW('UV quantification'!$B$36),8),QUOTIENT(ROW('UV quantification'!B90)-ROW('UV quantification'!$B$36),8))</f>
        <v>AAATTGTTTCTTCATGTTGGTAGTTAGAGA</v>
      </c>
      <c r="F57">
        <f t="shared" ca="1" si="5"/>
        <v>30</v>
      </c>
      <c r="G57">
        <v>1</v>
      </c>
      <c r="H57" t="s">
        <v>137</v>
      </c>
      <c r="I57" s="165" t="s">
        <v>530</v>
      </c>
      <c r="J57" s="39">
        <f t="shared" ca="1" si="6"/>
        <v>0</v>
      </c>
      <c r="K57">
        <f t="shared" ca="1" si="8"/>
        <v>0</v>
      </c>
      <c r="L57">
        <f t="shared" ca="1" si="8"/>
        <v>0</v>
      </c>
      <c r="M57">
        <f t="shared" ca="1" si="8"/>
        <v>0</v>
      </c>
      <c r="N57" s="165">
        <f t="shared" ca="1" si="7"/>
        <v>0</v>
      </c>
      <c r="O57" s="166" t="str">
        <f>General!$B$1</f>
        <v>200504_P1_HL_ncov2019_Pool1</v>
      </c>
      <c r="P57" t="e">
        <f ca="1">OFFSET('UV quantification'!$B$36,MOD(ROW('UV quantification'!B90)-ROW('UV quantification'!$B$36),8),QUOTIENT(ROW('UV quantification'!B90)-ROW('UV quantification'!$B$36),8))</f>
        <v>#DIV/0!</v>
      </c>
      <c r="Q57" t="e">
        <f ca="1">OFFSET('UV quantification'!$B$26,MOD(ROW('UV quantification'!B90)-ROW('UV quantification'!$B$36),8),QUOTIENT(ROW('UV quantification'!B90)-ROW('UV quantification'!$B$36),8))</f>
        <v>#DIV/0!</v>
      </c>
      <c r="R57">
        <f ca="1">OFFSET('OP2'!$B$30,MOD(ROW('UV quantification'!B90)-ROW('UV quantification'!$B$36),8),QUOTIENT(ROW('UV quantification'!B90)-ROW('UV quantification'!$B$36),8))</f>
        <v>0</v>
      </c>
      <c r="T57" s="165"/>
    </row>
    <row r="58" spans="1:20" x14ac:dyDescent="0.35">
      <c r="A58" s="39" t="s">
        <v>543</v>
      </c>
      <c r="B58">
        <v>56</v>
      </c>
      <c r="C58" t="s">
        <v>544</v>
      </c>
      <c r="D58" t="str">
        <f ca="1">OFFSET(Syntheses!$B$19,MOD(ROW('UV quantification'!B91)-ROW('UV quantification'!$B$36),8),QUOTIENT(ROW('UV quantification'!B91)-ROW('UV quantification'!$B$36),8))</f>
        <v>nCoV-2019_45_RIGHT_alt7</v>
      </c>
      <c r="E58" t="str">
        <f ca="1">OFFSET(Syntheses!$B$8,MOD(ROW('UV quantification'!B91)-ROW('UV quantification'!$B$36),8),QUOTIENT(ROW('UV quantification'!B91)-ROW('UV quantification'!$B$36),8))</f>
        <v>TTCATGTTGGTAGTTAGAGAAAGTGTGTC</v>
      </c>
      <c r="F58">
        <f t="shared" ca="1" si="5"/>
        <v>29</v>
      </c>
      <c r="G58">
        <v>1</v>
      </c>
      <c r="H58" t="s">
        <v>150</v>
      </c>
      <c r="I58" s="165" t="s">
        <v>530</v>
      </c>
      <c r="J58" s="39">
        <f t="shared" ca="1" si="6"/>
        <v>0</v>
      </c>
      <c r="K58">
        <f t="shared" ca="1" si="8"/>
        <v>0</v>
      </c>
      <c r="L58">
        <f t="shared" ca="1" si="8"/>
        <v>0</v>
      </c>
      <c r="M58">
        <f t="shared" ca="1" si="8"/>
        <v>0</v>
      </c>
      <c r="N58" s="165">
        <f t="shared" ca="1" si="7"/>
        <v>0</v>
      </c>
      <c r="O58" s="166" t="str">
        <f>General!$B$1</f>
        <v>200504_P1_HL_ncov2019_Pool1</v>
      </c>
      <c r="P58" t="e">
        <f ca="1">OFFSET('UV quantification'!$B$36,MOD(ROW('UV quantification'!B91)-ROW('UV quantification'!$B$36),8),QUOTIENT(ROW('UV quantification'!B91)-ROW('UV quantification'!$B$36),8))</f>
        <v>#DIV/0!</v>
      </c>
      <c r="Q58" t="e">
        <f ca="1">OFFSET('UV quantification'!$B$26,MOD(ROW('UV quantification'!B91)-ROW('UV quantification'!$B$36),8),QUOTIENT(ROW('UV quantification'!B91)-ROW('UV quantification'!$B$36),8))</f>
        <v>#DIV/0!</v>
      </c>
      <c r="R58">
        <f ca="1">OFFSET('OP2'!$B$30,MOD(ROW('UV quantification'!B91)-ROW('UV quantification'!$B$36),8),QUOTIENT(ROW('UV quantification'!B91)-ROW('UV quantification'!$B$36),8))</f>
        <v>0</v>
      </c>
      <c r="T58" s="165"/>
    </row>
    <row r="59" spans="1:20" x14ac:dyDescent="0.35">
      <c r="A59" s="39" t="s">
        <v>545</v>
      </c>
      <c r="B59">
        <v>57</v>
      </c>
      <c r="C59" t="s">
        <v>546</v>
      </c>
      <c r="D59" t="str">
        <f ca="1">OFFSET(Syntheses!$B$19,MOD(ROW('UV quantification'!B92)-ROW('UV quantification'!$B$36),8),QUOTIENT(ROW('UV quantification'!B92)-ROW('UV quantification'!$B$36),8))</f>
        <v>nCoV-2019_47_LEFT</v>
      </c>
      <c r="E59" t="str">
        <f ca="1">OFFSET(Syntheses!$B$8,MOD(ROW('UV quantification'!B92)-ROW('UV quantification'!$B$36),8),QUOTIENT(ROW('UV quantification'!B92)-ROW('UV quantification'!$B$36),8))</f>
        <v>AGGACTGGTATGATTTTGTAGAAAACCC</v>
      </c>
      <c r="F59">
        <f t="shared" ca="1" si="5"/>
        <v>28</v>
      </c>
      <c r="G59">
        <v>1</v>
      </c>
      <c r="H59" t="s">
        <v>59</v>
      </c>
      <c r="I59" s="165" t="s">
        <v>547</v>
      </c>
      <c r="J59" s="39">
        <f t="shared" ca="1" si="6"/>
        <v>0</v>
      </c>
      <c r="K59">
        <f t="shared" ca="1" si="8"/>
        <v>0</v>
      </c>
      <c r="L59">
        <f t="shared" ca="1" si="8"/>
        <v>0</v>
      </c>
      <c r="M59">
        <f t="shared" ca="1" si="8"/>
        <v>0</v>
      </c>
      <c r="N59" s="165">
        <f t="shared" ca="1" si="7"/>
        <v>0</v>
      </c>
      <c r="O59" s="166" t="str">
        <f>General!$B$1</f>
        <v>200504_P1_HL_ncov2019_Pool1</v>
      </c>
      <c r="P59" t="e">
        <f ca="1">OFFSET('UV quantification'!$B$36,MOD(ROW('UV quantification'!B92)-ROW('UV quantification'!$B$36),8),QUOTIENT(ROW('UV quantification'!B92)-ROW('UV quantification'!$B$36),8))</f>
        <v>#DIV/0!</v>
      </c>
      <c r="Q59" t="e">
        <f ca="1">OFFSET('UV quantification'!$B$26,MOD(ROW('UV quantification'!B92)-ROW('UV quantification'!$B$36),8),QUOTIENT(ROW('UV quantification'!B92)-ROW('UV quantification'!$B$36),8))</f>
        <v>#DIV/0!</v>
      </c>
      <c r="R59">
        <f ca="1">OFFSET('OP2'!$B$30,MOD(ROW('UV quantification'!B92)-ROW('UV quantification'!$B$36),8),QUOTIENT(ROW('UV quantification'!B92)-ROW('UV quantification'!$B$36),8))</f>
        <v>0</v>
      </c>
      <c r="T59" s="165"/>
    </row>
    <row r="60" spans="1:20" x14ac:dyDescent="0.35">
      <c r="A60" s="39" t="s">
        <v>548</v>
      </c>
      <c r="B60">
        <v>58</v>
      </c>
      <c r="C60" t="s">
        <v>549</v>
      </c>
      <c r="D60" t="str">
        <f ca="1">OFFSET(Syntheses!$B$19,MOD(ROW('UV quantification'!B93)-ROW('UV quantification'!$B$36),8),QUOTIENT(ROW('UV quantification'!B93)-ROW('UV quantification'!$B$36),8))</f>
        <v>nCoV-2019_47_RIGHT</v>
      </c>
      <c r="E60" t="str">
        <f ca="1">OFFSET(Syntheses!$B$8,MOD(ROW('UV quantification'!B93)-ROW('UV quantification'!$B$36),8),QUOTIENT(ROW('UV quantification'!B93)-ROW('UV quantification'!$B$36),8))</f>
        <v>AATAACGGTCAAAGAGTTTTAACCTCTC</v>
      </c>
      <c r="F60">
        <f t="shared" ca="1" si="5"/>
        <v>28</v>
      </c>
      <c r="G60">
        <v>1</v>
      </c>
      <c r="H60" t="s">
        <v>72</v>
      </c>
      <c r="I60" s="165" t="s">
        <v>547</v>
      </c>
      <c r="J60" s="39">
        <f t="shared" ca="1" si="6"/>
        <v>0</v>
      </c>
      <c r="K60">
        <f t="shared" ca="1" si="8"/>
        <v>0</v>
      </c>
      <c r="L60">
        <f t="shared" ca="1" si="8"/>
        <v>0</v>
      </c>
      <c r="M60">
        <f t="shared" ca="1" si="8"/>
        <v>0</v>
      </c>
      <c r="N60" s="165">
        <f t="shared" ca="1" si="7"/>
        <v>0</v>
      </c>
      <c r="O60" s="166" t="str">
        <f>General!$B$1</f>
        <v>200504_P1_HL_ncov2019_Pool1</v>
      </c>
      <c r="P60" t="e">
        <f ca="1">OFFSET('UV quantification'!$B$36,MOD(ROW('UV quantification'!B93)-ROW('UV quantification'!$B$36),8),QUOTIENT(ROW('UV quantification'!B93)-ROW('UV quantification'!$B$36),8))</f>
        <v>#DIV/0!</v>
      </c>
      <c r="Q60" t="e">
        <f ca="1">OFFSET('UV quantification'!$B$26,MOD(ROW('UV quantification'!B93)-ROW('UV quantification'!$B$36),8),QUOTIENT(ROW('UV quantification'!B93)-ROW('UV quantification'!$B$36),8))</f>
        <v>#DIV/0!</v>
      </c>
      <c r="R60">
        <f ca="1">OFFSET('OP2'!$B$30,MOD(ROW('UV quantification'!B93)-ROW('UV quantification'!$B$36),8),QUOTIENT(ROW('UV quantification'!B93)-ROW('UV quantification'!$B$36),8))</f>
        <v>0</v>
      </c>
      <c r="T60" s="165"/>
    </row>
    <row r="61" spans="1:20" x14ac:dyDescent="0.35">
      <c r="A61" s="39" t="s">
        <v>550</v>
      </c>
      <c r="B61">
        <v>59</v>
      </c>
      <c r="C61" t="s">
        <v>551</v>
      </c>
      <c r="D61" t="str">
        <f ca="1">OFFSET(Syntheses!$B$19,MOD(ROW('UV quantification'!B94)-ROW('UV quantification'!$B$36),8),QUOTIENT(ROW('UV quantification'!B94)-ROW('UV quantification'!$B$36),8))</f>
        <v>nCoV-2019_49_LEFT</v>
      </c>
      <c r="E61" t="str">
        <f ca="1">OFFSET(Syntheses!$B$8,MOD(ROW('UV quantification'!B94)-ROW('UV quantification'!$B$36),8),QUOTIENT(ROW('UV quantification'!B94)-ROW('UV quantification'!$B$36),8))</f>
        <v>AGGAATTACTTGTGTATGCTGCTGA</v>
      </c>
      <c r="F61">
        <f t="shared" ca="1" si="5"/>
        <v>25</v>
      </c>
      <c r="G61">
        <v>1</v>
      </c>
      <c r="H61" t="s">
        <v>85</v>
      </c>
      <c r="I61" s="165" t="s">
        <v>547</v>
      </c>
      <c r="J61" s="39">
        <f t="shared" ca="1" si="6"/>
        <v>0</v>
      </c>
      <c r="K61">
        <f t="shared" ca="1" si="8"/>
        <v>0</v>
      </c>
      <c r="L61">
        <f t="shared" ca="1" si="8"/>
        <v>0</v>
      </c>
      <c r="M61">
        <f t="shared" ca="1" si="8"/>
        <v>0</v>
      </c>
      <c r="N61" s="165">
        <f t="shared" ca="1" si="7"/>
        <v>0</v>
      </c>
      <c r="O61" s="166" t="str">
        <f>General!$B$1</f>
        <v>200504_P1_HL_ncov2019_Pool1</v>
      </c>
      <c r="P61" t="e">
        <f ca="1">OFFSET('UV quantification'!$B$36,MOD(ROW('UV quantification'!B94)-ROW('UV quantification'!$B$36),8),QUOTIENT(ROW('UV quantification'!B94)-ROW('UV quantification'!$B$36),8))</f>
        <v>#DIV/0!</v>
      </c>
      <c r="Q61" t="e">
        <f ca="1">OFFSET('UV quantification'!$B$26,MOD(ROW('UV quantification'!B94)-ROW('UV quantification'!$B$36),8),QUOTIENT(ROW('UV quantification'!B94)-ROW('UV quantification'!$B$36),8))</f>
        <v>#DIV/0!</v>
      </c>
      <c r="R61">
        <f ca="1">OFFSET('OP2'!$B$30,MOD(ROW('UV quantification'!B94)-ROW('UV quantification'!$B$36),8),QUOTIENT(ROW('UV quantification'!B94)-ROW('UV quantification'!$B$36),8))</f>
        <v>0</v>
      </c>
      <c r="T61" s="165"/>
    </row>
    <row r="62" spans="1:20" x14ac:dyDescent="0.35">
      <c r="A62" s="39" t="s">
        <v>552</v>
      </c>
      <c r="B62">
        <v>60</v>
      </c>
      <c r="C62" t="s">
        <v>553</v>
      </c>
      <c r="D62" t="str">
        <f ca="1">OFFSET(Syntheses!$B$19,MOD(ROW('UV quantification'!B95)-ROW('UV quantification'!$B$36),8),QUOTIENT(ROW('UV quantification'!B95)-ROW('UV quantification'!$B$36),8))</f>
        <v>nCoV-2019_49_RIGHT</v>
      </c>
      <c r="E62" t="str">
        <f ca="1">OFFSET(Syntheses!$B$8,MOD(ROW('UV quantification'!B95)-ROW('UV quantification'!$B$36),8),QUOTIENT(ROW('UV quantification'!B95)-ROW('UV quantification'!$B$36),8))</f>
        <v>TGACGATGACTTGGTTAGCATTAATACA</v>
      </c>
      <c r="F62">
        <f t="shared" ca="1" si="5"/>
        <v>28</v>
      </c>
      <c r="G62">
        <v>1</v>
      </c>
      <c r="H62" t="s">
        <v>98</v>
      </c>
      <c r="I62" s="165" t="s">
        <v>547</v>
      </c>
      <c r="J62" s="39">
        <f t="shared" ca="1" si="6"/>
        <v>0</v>
      </c>
      <c r="K62">
        <f t="shared" ca="1" si="8"/>
        <v>0</v>
      </c>
      <c r="L62">
        <f t="shared" ca="1" si="8"/>
        <v>0</v>
      </c>
      <c r="M62">
        <f t="shared" ca="1" si="8"/>
        <v>0</v>
      </c>
      <c r="N62" s="165">
        <f t="shared" ca="1" si="7"/>
        <v>0</v>
      </c>
      <c r="O62" s="166" t="str">
        <f>General!$B$1</f>
        <v>200504_P1_HL_ncov2019_Pool1</v>
      </c>
      <c r="P62" t="e">
        <f ca="1">OFFSET('UV quantification'!$B$36,MOD(ROW('UV quantification'!B95)-ROW('UV quantification'!$B$36),8),QUOTIENT(ROW('UV quantification'!B95)-ROW('UV quantification'!$B$36),8))</f>
        <v>#DIV/0!</v>
      </c>
      <c r="Q62" t="e">
        <f ca="1">OFFSET('UV quantification'!$B$26,MOD(ROW('UV quantification'!B95)-ROW('UV quantification'!$B$36),8),QUOTIENT(ROW('UV quantification'!B95)-ROW('UV quantification'!$B$36),8))</f>
        <v>#DIV/0!</v>
      </c>
      <c r="R62">
        <f ca="1">OFFSET('OP2'!$B$30,MOD(ROW('UV quantification'!B95)-ROW('UV quantification'!$B$36),8),QUOTIENT(ROW('UV quantification'!B95)-ROW('UV quantification'!$B$36),8))</f>
        <v>0</v>
      </c>
      <c r="T62" s="165"/>
    </row>
    <row r="63" spans="1:20" x14ac:dyDescent="0.35">
      <c r="A63" s="39" t="s">
        <v>554</v>
      </c>
      <c r="B63">
        <v>61</v>
      </c>
      <c r="C63" t="s">
        <v>555</v>
      </c>
      <c r="D63" t="str">
        <f ca="1">OFFSET(Syntheses!$B$19,MOD(ROW('UV quantification'!B96)-ROW('UV quantification'!$B$36),8),QUOTIENT(ROW('UV quantification'!B96)-ROW('UV quantification'!$B$36),8))</f>
        <v>nCoV-2019_51_LEFT</v>
      </c>
      <c r="E63" t="str">
        <f ca="1">OFFSET(Syntheses!$B$8,MOD(ROW('UV quantification'!B96)-ROW('UV quantification'!$B$36),8),QUOTIENT(ROW('UV quantification'!B96)-ROW('UV quantification'!$B$36),8))</f>
        <v>TCAATAGCCGCCACTAGAGGAG</v>
      </c>
      <c r="F63">
        <f t="shared" ca="1" si="5"/>
        <v>22</v>
      </c>
      <c r="G63">
        <v>1</v>
      </c>
      <c r="H63" t="s">
        <v>111</v>
      </c>
      <c r="I63" s="165" t="s">
        <v>547</v>
      </c>
      <c r="J63" s="39">
        <f t="shared" ca="1" si="6"/>
        <v>0</v>
      </c>
      <c r="K63">
        <f t="shared" ref="K63:M82" ca="1" si="9">(LEN($E63)-LEN(SUBSTITUTE($E63,K$2,"")))/LEN(K$2)</f>
        <v>0</v>
      </c>
      <c r="L63">
        <f t="shared" ca="1" si="9"/>
        <v>0</v>
      </c>
      <c r="M63">
        <f t="shared" ca="1" si="9"/>
        <v>0</v>
      </c>
      <c r="N63" s="165">
        <f t="shared" ca="1" si="7"/>
        <v>0</v>
      </c>
      <c r="O63" s="166" t="str">
        <f>General!$B$1</f>
        <v>200504_P1_HL_ncov2019_Pool1</v>
      </c>
      <c r="P63" t="e">
        <f ca="1">OFFSET('UV quantification'!$B$36,MOD(ROW('UV quantification'!B96)-ROW('UV quantification'!$B$36),8),QUOTIENT(ROW('UV quantification'!B96)-ROW('UV quantification'!$B$36),8))</f>
        <v>#DIV/0!</v>
      </c>
      <c r="Q63" t="e">
        <f ca="1">OFFSET('UV quantification'!$B$26,MOD(ROW('UV quantification'!B96)-ROW('UV quantification'!$B$36),8),QUOTIENT(ROW('UV quantification'!B96)-ROW('UV quantification'!$B$36),8))</f>
        <v>#DIV/0!</v>
      </c>
      <c r="R63">
        <f ca="1">OFFSET('OP2'!$B$30,MOD(ROW('UV quantification'!B96)-ROW('UV quantification'!$B$36),8),QUOTIENT(ROW('UV quantification'!B96)-ROW('UV quantification'!$B$36),8))</f>
        <v>0</v>
      </c>
      <c r="T63" s="165"/>
    </row>
    <row r="64" spans="1:20" x14ac:dyDescent="0.35">
      <c r="A64" s="39" t="s">
        <v>556</v>
      </c>
      <c r="B64">
        <v>62</v>
      </c>
      <c r="C64" t="s">
        <v>557</v>
      </c>
      <c r="D64" t="str">
        <f ca="1">OFFSET(Syntheses!$B$19,MOD(ROW('UV quantification'!B97)-ROW('UV quantification'!$B$36),8),QUOTIENT(ROW('UV quantification'!B97)-ROW('UV quantification'!$B$36),8))</f>
        <v>nCoV-2019_51_RIGHT</v>
      </c>
      <c r="E64" t="str">
        <f ca="1">OFFSET(Syntheses!$B$8,MOD(ROW('UV quantification'!B97)-ROW('UV quantification'!$B$36),8),QUOTIENT(ROW('UV quantification'!B97)-ROW('UV quantification'!$B$36),8))</f>
        <v>AGTGCATTAACATTGGCCGTGA</v>
      </c>
      <c r="F64">
        <f t="shared" ca="1" si="5"/>
        <v>22</v>
      </c>
      <c r="G64">
        <v>1</v>
      </c>
      <c r="H64" t="s">
        <v>124</v>
      </c>
      <c r="I64" s="165" t="s">
        <v>547</v>
      </c>
      <c r="J64" s="39">
        <f t="shared" ca="1" si="6"/>
        <v>0</v>
      </c>
      <c r="K64">
        <f t="shared" ca="1" si="9"/>
        <v>0</v>
      </c>
      <c r="L64">
        <f t="shared" ca="1" si="9"/>
        <v>0</v>
      </c>
      <c r="M64">
        <f t="shared" ca="1" si="9"/>
        <v>0</v>
      </c>
      <c r="N64" s="165">
        <f t="shared" ca="1" si="7"/>
        <v>0</v>
      </c>
      <c r="O64" s="166" t="str">
        <f>General!$B$1</f>
        <v>200504_P1_HL_ncov2019_Pool1</v>
      </c>
      <c r="P64" t="e">
        <f ca="1">OFFSET('UV quantification'!$B$36,MOD(ROW('UV quantification'!B97)-ROW('UV quantification'!$B$36),8),QUOTIENT(ROW('UV quantification'!B97)-ROW('UV quantification'!$B$36),8))</f>
        <v>#DIV/0!</v>
      </c>
      <c r="Q64" t="e">
        <f ca="1">OFFSET('UV quantification'!$B$26,MOD(ROW('UV quantification'!B97)-ROW('UV quantification'!$B$36),8),QUOTIENT(ROW('UV quantification'!B97)-ROW('UV quantification'!$B$36),8))</f>
        <v>#DIV/0!</v>
      </c>
      <c r="R64">
        <f ca="1">OFFSET('OP2'!$B$30,MOD(ROW('UV quantification'!B97)-ROW('UV quantification'!$B$36),8),QUOTIENT(ROW('UV quantification'!B97)-ROW('UV quantification'!$B$36),8))</f>
        <v>0</v>
      </c>
      <c r="T64" s="165"/>
    </row>
    <row r="65" spans="1:20" x14ac:dyDescent="0.35">
      <c r="A65" s="39" t="s">
        <v>558</v>
      </c>
      <c r="B65">
        <v>63</v>
      </c>
      <c r="C65" t="s">
        <v>559</v>
      </c>
      <c r="D65" t="str">
        <f ca="1">OFFSET(Syntheses!$B$19,MOD(ROW('UV quantification'!B98)-ROW('UV quantification'!$B$36),8),QUOTIENT(ROW('UV quantification'!B98)-ROW('UV quantification'!$B$36),8))</f>
        <v>nCoV-2019_53_LEFT</v>
      </c>
      <c r="E65" t="str">
        <f ca="1">OFFSET(Syntheses!$B$8,MOD(ROW('UV quantification'!B98)-ROW('UV quantification'!$B$36),8),QUOTIENT(ROW('UV quantification'!B98)-ROW('UV quantification'!$B$36),8))</f>
        <v>AGCAAAATGTTGGACTGAGACTGA</v>
      </c>
      <c r="F65">
        <f t="shared" ca="1" si="5"/>
        <v>24</v>
      </c>
      <c r="G65">
        <v>1</v>
      </c>
      <c r="H65" t="s">
        <v>137</v>
      </c>
      <c r="I65" s="165" t="s">
        <v>547</v>
      </c>
      <c r="J65" s="39">
        <f t="shared" ca="1" si="6"/>
        <v>0</v>
      </c>
      <c r="K65">
        <f t="shared" ca="1" si="9"/>
        <v>0</v>
      </c>
      <c r="L65">
        <f t="shared" ca="1" si="9"/>
        <v>0</v>
      </c>
      <c r="M65">
        <f t="shared" ca="1" si="9"/>
        <v>0</v>
      </c>
      <c r="N65" s="165">
        <f t="shared" ca="1" si="7"/>
        <v>0</v>
      </c>
      <c r="O65" s="166" t="str">
        <f>General!$B$1</f>
        <v>200504_P1_HL_ncov2019_Pool1</v>
      </c>
      <c r="P65" t="e">
        <f ca="1">OFFSET('UV quantification'!$B$36,MOD(ROW('UV quantification'!B98)-ROW('UV quantification'!$B$36),8),QUOTIENT(ROW('UV quantification'!B98)-ROW('UV quantification'!$B$36),8))</f>
        <v>#DIV/0!</v>
      </c>
      <c r="Q65" t="e">
        <f ca="1">OFFSET('UV quantification'!$B$26,MOD(ROW('UV quantification'!B98)-ROW('UV quantification'!$B$36),8),QUOTIENT(ROW('UV quantification'!B98)-ROW('UV quantification'!$B$36),8))</f>
        <v>#DIV/0!</v>
      </c>
      <c r="R65">
        <f ca="1">OFFSET('OP2'!$B$30,MOD(ROW('UV quantification'!B98)-ROW('UV quantification'!$B$36),8),QUOTIENT(ROW('UV quantification'!B98)-ROW('UV quantification'!$B$36),8))</f>
        <v>0</v>
      </c>
      <c r="T65" s="165"/>
    </row>
    <row r="66" spans="1:20" x14ac:dyDescent="0.35">
      <c r="A66" s="39" t="s">
        <v>560</v>
      </c>
      <c r="B66">
        <v>64</v>
      </c>
      <c r="C66" t="s">
        <v>561</v>
      </c>
      <c r="D66" t="str">
        <f ca="1">OFFSET(Syntheses!$B$19,MOD(ROW('UV quantification'!B99)-ROW('UV quantification'!$B$36),8),QUOTIENT(ROW('UV quantification'!B99)-ROW('UV quantification'!$B$36),8))</f>
        <v>nCoV-2019_53_RIGHT</v>
      </c>
      <c r="E66" t="str">
        <f ca="1">OFFSET(Syntheses!$B$8,MOD(ROW('UV quantification'!B99)-ROW('UV quantification'!$B$36),8),QUOTIENT(ROW('UV quantification'!B99)-ROW('UV quantification'!$B$36),8))</f>
        <v>AGCCTCATAAAACTCAGGTTCCC</v>
      </c>
      <c r="F66">
        <f t="shared" ca="1" si="5"/>
        <v>23</v>
      </c>
      <c r="G66">
        <v>1</v>
      </c>
      <c r="H66" t="s">
        <v>150</v>
      </c>
      <c r="I66" s="165" t="s">
        <v>547</v>
      </c>
      <c r="J66" s="39">
        <f t="shared" ca="1" si="6"/>
        <v>0</v>
      </c>
      <c r="K66">
        <f t="shared" ca="1" si="9"/>
        <v>0</v>
      </c>
      <c r="L66">
        <f t="shared" ca="1" si="9"/>
        <v>0</v>
      </c>
      <c r="M66">
        <f t="shared" ca="1" si="9"/>
        <v>0</v>
      </c>
      <c r="N66" s="165">
        <f t="shared" ca="1" si="7"/>
        <v>0</v>
      </c>
      <c r="O66" s="166" t="str">
        <f>General!$B$1</f>
        <v>200504_P1_HL_ncov2019_Pool1</v>
      </c>
      <c r="P66" t="e">
        <f ca="1">OFFSET('UV quantification'!$B$36,MOD(ROW('UV quantification'!B99)-ROW('UV quantification'!$B$36),8),QUOTIENT(ROW('UV quantification'!B99)-ROW('UV quantification'!$B$36),8))</f>
        <v>#DIV/0!</v>
      </c>
      <c r="Q66" t="e">
        <f ca="1">OFFSET('UV quantification'!$B$26,MOD(ROW('UV quantification'!B99)-ROW('UV quantification'!$B$36),8),QUOTIENT(ROW('UV quantification'!B99)-ROW('UV quantification'!$B$36),8))</f>
        <v>#DIV/0!</v>
      </c>
      <c r="R66">
        <f ca="1">OFFSET('OP2'!$B$30,MOD(ROW('UV quantification'!B99)-ROW('UV quantification'!$B$36),8),QUOTIENT(ROW('UV quantification'!B99)-ROW('UV quantification'!$B$36),8))</f>
        <v>0</v>
      </c>
      <c r="T66" s="165"/>
    </row>
    <row r="67" spans="1:20" x14ac:dyDescent="0.35">
      <c r="A67" s="39" t="s">
        <v>562</v>
      </c>
      <c r="B67">
        <v>65</v>
      </c>
      <c r="C67" t="s">
        <v>563</v>
      </c>
      <c r="D67" t="str">
        <f ca="1">OFFSET(Syntheses!$B$19,MOD(ROW('UV quantification'!B100)-ROW('UV quantification'!$B$36),8),QUOTIENT(ROW('UV quantification'!B100)-ROW('UV quantification'!$B$36),8))</f>
        <v>nCoV-2019_55_LEFT</v>
      </c>
      <c r="E67" t="str">
        <f ca="1">OFFSET(Syntheses!$B$8,MOD(ROW('UV quantification'!B100)-ROW('UV quantification'!$B$36),8),QUOTIENT(ROW('UV quantification'!B100)-ROW('UV quantification'!$B$36),8))</f>
        <v>ACTCAACTTTACTTAGGAGGTATGAGCT</v>
      </c>
      <c r="F67">
        <f t="shared" ref="F67:F98" ca="1" si="10">LEN(E67)</f>
        <v>28</v>
      </c>
      <c r="G67">
        <v>1</v>
      </c>
      <c r="H67" t="s">
        <v>59</v>
      </c>
      <c r="I67" s="165" t="s">
        <v>564</v>
      </c>
      <c r="J67" s="39">
        <f t="shared" ref="J67:J98" ca="1" si="11">K67+L67+M67+QUOTIENT(N67,2)*5+MOD(N67,2)</f>
        <v>0</v>
      </c>
      <c r="K67">
        <f t="shared" ca="1" si="9"/>
        <v>0</v>
      </c>
      <c r="L67">
        <f t="shared" ca="1" si="9"/>
        <v>0</v>
      </c>
      <c r="M67">
        <f t="shared" ca="1" si="9"/>
        <v>0</v>
      </c>
      <c r="N67" s="165">
        <f t="shared" ref="N67:N98" ca="1" si="12">(LEN($E67)-3-LEN(SUBSTITUTE(LEFT($E67, LEN($E67)-3),N$2,"")))/LEN(N$2)</f>
        <v>0</v>
      </c>
      <c r="O67" s="166" t="str">
        <f>General!$B$1</f>
        <v>200504_P1_HL_ncov2019_Pool1</v>
      </c>
      <c r="P67" t="e">
        <f ca="1">OFFSET('UV quantification'!$B$36,MOD(ROW('UV quantification'!B100)-ROW('UV quantification'!$B$36),8),QUOTIENT(ROW('UV quantification'!B100)-ROW('UV quantification'!$B$36),8))</f>
        <v>#DIV/0!</v>
      </c>
      <c r="Q67" t="e">
        <f ca="1">OFFSET('UV quantification'!$B$26,MOD(ROW('UV quantification'!B100)-ROW('UV quantification'!$B$36),8),QUOTIENT(ROW('UV quantification'!B100)-ROW('UV quantification'!$B$36),8))</f>
        <v>#DIV/0!</v>
      </c>
      <c r="R67">
        <f ca="1">OFFSET('OP2'!$B$30,MOD(ROW('UV quantification'!B100)-ROW('UV quantification'!$B$36),8),QUOTIENT(ROW('UV quantification'!B100)-ROW('UV quantification'!$B$36),8))</f>
        <v>0</v>
      </c>
      <c r="T67" s="165"/>
    </row>
    <row r="68" spans="1:20" x14ac:dyDescent="0.35">
      <c r="A68" s="39" t="s">
        <v>565</v>
      </c>
      <c r="B68">
        <v>66</v>
      </c>
      <c r="C68" t="s">
        <v>566</v>
      </c>
      <c r="D68" t="str">
        <f ca="1">OFFSET(Syntheses!$B$19,MOD(ROW('UV quantification'!B101)-ROW('UV quantification'!$B$36),8),QUOTIENT(ROW('UV quantification'!B101)-ROW('UV quantification'!$B$36),8))</f>
        <v>nCoV-2019_55_RIGHT</v>
      </c>
      <c r="E68" t="str">
        <f ca="1">OFFSET(Syntheses!$B$8,MOD(ROW('UV quantification'!B101)-ROW('UV quantification'!$B$36),8),QUOTIENT(ROW('UV quantification'!B101)-ROW('UV quantification'!$B$36),8))</f>
        <v>GGTGTACTCTCCTATTTGTACTTTACTGT</v>
      </c>
      <c r="F68">
        <f t="shared" ca="1" si="10"/>
        <v>29</v>
      </c>
      <c r="G68">
        <v>1</v>
      </c>
      <c r="H68" t="s">
        <v>72</v>
      </c>
      <c r="I68" s="165" t="s">
        <v>564</v>
      </c>
      <c r="J68" s="39">
        <f t="shared" ca="1" si="11"/>
        <v>1</v>
      </c>
      <c r="K68">
        <f t="shared" ca="1" si="9"/>
        <v>0</v>
      </c>
      <c r="L68">
        <f t="shared" ca="1" si="9"/>
        <v>1</v>
      </c>
      <c r="M68">
        <f t="shared" ca="1" si="9"/>
        <v>0</v>
      </c>
      <c r="N68" s="165">
        <f t="shared" ca="1" si="12"/>
        <v>0</v>
      </c>
      <c r="O68" s="166" t="str">
        <f>General!$B$1</f>
        <v>200504_P1_HL_ncov2019_Pool1</v>
      </c>
      <c r="P68" t="e">
        <f ca="1">OFFSET('UV quantification'!$B$36,MOD(ROW('UV quantification'!B101)-ROW('UV quantification'!$B$36),8),QUOTIENT(ROW('UV quantification'!B101)-ROW('UV quantification'!$B$36),8))</f>
        <v>#DIV/0!</v>
      </c>
      <c r="Q68" t="e">
        <f ca="1">OFFSET('UV quantification'!$B$26,MOD(ROW('UV quantification'!B101)-ROW('UV quantification'!$B$36),8),QUOTIENT(ROW('UV quantification'!B101)-ROW('UV quantification'!$B$36),8))</f>
        <v>#DIV/0!</v>
      </c>
      <c r="R68">
        <f ca="1">OFFSET('OP2'!$B$30,MOD(ROW('UV quantification'!B101)-ROW('UV quantification'!$B$36),8),QUOTIENT(ROW('UV quantification'!B101)-ROW('UV quantification'!$B$36),8))</f>
        <v>0</v>
      </c>
      <c r="T68" s="165"/>
    </row>
    <row r="69" spans="1:20" x14ac:dyDescent="0.35">
      <c r="A69" s="39" t="s">
        <v>567</v>
      </c>
      <c r="B69">
        <v>67</v>
      </c>
      <c r="C69" t="s">
        <v>568</v>
      </c>
      <c r="D69" t="str">
        <f ca="1">OFFSET(Syntheses!$B$19,MOD(ROW('UV quantification'!B102)-ROW('UV quantification'!$B$36),8),QUOTIENT(ROW('UV quantification'!B102)-ROW('UV quantification'!$B$36),8))</f>
        <v>nCoV-2019_57_LEFT</v>
      </c>
      <c r="E69" t="str">
        <f ca="1">OFFSET(Syntheses!$B$8,MOD(ROW('UV quantification'!B102)-ROW('UV quantification'!$B$36),8),QUOTIENT(ROW('UV quantification'!B102)-ROW('UV quantification'!$B$36),8))</f>
        <v>ATTCTACACTCCAGGGACCACC</v>
      </c>
      <c r="F69">
        <f t="shared" ca="1" si="10"/>
        <v>22</v>
      </c>
      <c r="G69">
        <v>1</v>
      </c>
      <c r="H69" t="s">
        <v>85</v>
      </c>
      <c r="I69" s="165" t="s">
        <v>564</v>
      </c>
      <c r="J69" s="39">
        <f t="shared" ca="1" si="11"/>
        <v>1</v>
      </c>
      <c r="K69">
        <f t="shared" ca="1" si="9"/>
        <v>0</v>
      </c>
      <c r="L69">
        <f t="shared" ca="1" si="9"/>
        <v>0</v>
      </c>
      <c r="M69">
        <f t="shared" ca="1" si="9"/>
        <v>0</v>
      </c>
      <c r="N69" s="165">
        <f t="shared" ca="1" si="12"/>
        <v>1</v>
      </c>
      <c r="O69" s="166" t="str">
        <f>General!$B$1</f>
        <v>200504_P1_HL_ncov2019_Pool1</v>
      </c>
      <c r="P69" t="e">
        <f ca="1">OFFSET('UV quantification'!$B$36,MOD(ROW('UV quantification'!B102)-ROW('UV quantification'!$B$36),8),QUOTIENT(ROW('UV quantification'!B102)-ROW('UV quantification'!$B$36),8))</f>
        <v>#DIV/0!</v>
      </c>
      <c r="Q69" t="e">
        <f ca="1">OFFSET('UV quantification'!$B$26,MOD(ROW('UV quantification'!B102)-ROW('UV quantification'!$B$36),8),QUOTIENT(ROW('UV quantification'!B102)-ROW('UV quantification'!$B$36),8))</f>
        <v>#DIV/0!</v>
      </c>
      <c r="R69">
        <f ca="1">OFFSET('OP2'!$B$30,MOD(ROW('UV quantification'!B102)-ROW('UV quantification'!$B$36),8),QUOTIENT(ROW('UV quantification'!B102)-ROW('UV quantification'!$B$36),8))</f>
        <v>0</v>
      </c>
      <c r="T69" s="165"/>
    </row>
    <row r="70" spans="1:20" x14ac:dyDescent="0.35">
      <c r="A70" s="39" t="s">
        <v>569</v>
      </c>
      <c r="B70">
        <v>68</v>
      </c>
      <c r="C70" t="s">
        <v>570</v>
      </c>
      <c r="D70" t="str">
        <f ca="1">OFFSET(Syntheses!$B$19,MOD(ROW('UV quantification'!B103)-ROW('UV quantification'!$B$36),8),QUOTIENT(ROW('UV quantification'!B103)-ROW('UV quantification'!$B$36),8))</f>
        <v>nCoV-2019_57_RIGHT</v>
      </c>
      <c r="E70" t="str">
        <f ca="1">OFFSET(Syntheses!$B$8,MOD(ROW('UV quantification'!B103)-ROW('UV quantification'!$B$36),8),QUOTIENT(ROW('UV quantification'!B103)-ROW('UV quantification'!$B$36),8))</f>
        <v>GTAATTGAGCAGGGTCGCCAAT</v>
      </c>
      <c r="F70">
        <f t="shared" ca="1" si="10"/>
        <v>22</v>
      </c>
      <c r="G70">
        <v>1</v>
      </c>
      <c r="H70" t="s">
        <v>98</v>
      </c>
      <c r="I70" s="165" t="s">
        <v>564</v>
      </c>
      <c r="J70" s="39">
        <f t="shared" ca="1" si="11"/>
        <v>1</v>
      </c>
      <c r="K70">
        <f t="shared" ca="1" si="9"/>
        <v>0</v>
      </c>
      <c r="L70">
        <f t="shared" ca="1" si="9"/>
        <v>0</v>
      </c>
      <c r="M70">
        <f t="shared" ca="1" si="9"/>
        <v>0</v>
      </c>
      <c r="N70" s="165">
        <f t="shared" ca="1" si="12"/>
        <v>1</v>
      </c>
      <c r="O70" s="166" t="str">
        <f>General!$B$1</f>
        <v>200504_P1_HL_ncov2019_Pool1</v>
      </c>
      <c r="P70" t="e">
        <f ca="1">OFFSET('UV quantification'!$B$36,MOD(ROW('UV quantification'!B103)-ROW('UV quantification'!$B$36),8),QUOTIENT(ROW('UV quantification'!B103)-ROW('UV quantification'!$B$36),8))</f>
        <v>#DIV/0!</v>
      </c>
      <c r="Q70" t="e">
        <f ca="1">OFFSET('UV quantification'!$B$26,MOD(ROW('UV quantification'!B103)-ROW('UV quantification'!$B$36),8),QUOTIENT(ROW('UV quantification'!B103)-ROW('UV quantification'!$B$36),8))</f>
        <v>#DIV/0!</v>
      </c>
      <c r="R70">
        <f ca="1">OFFSET('OP2'!$B$30,MOD(ROW('UV quantification'!B103)-ROW('UV quantification'!$B$36),8),QUOTIENT(ROW('UV quantification'!B103)-ROW('UV quantification'!$B$36),8))</f>
        <v>0</v>
      </c>
      <c r="T70" s="165"/>
    </row>
    <row r="71" spans="1:20" x14ac:dyDescent="0.35">
      <c r="A71" s="39" t="s">
        <v>571</v>
      </c>
      <c r="B71">
        <v>69</v>
      </c>
      <c r="C71" t="s">
        <v>572</v>
      </c>
      <c r="D71" t="str">
        <f ca="1">OFFSET(Syntheses!$B$19,MOD(ROW('UV quantification'!B104)-ROW('UV quantification'!$B$36),8),QUOTIENT(ROW('UV quantification'!B104)-ROW('UV quantification'!$B$36),8))</f>
        <v>nCoV-2019_59_LEFT</v>
      </c>
      <c r="E71" t="str">
        <f ca="1">OFFSET(Syntheses!$B$8,MOD(ROW('UV quantification'!B104)-ROW('UV quantification'!$B$36),8),QUOTIENT(ROW('UV quantification'!B104)-ROW('UV quantification'!$B$36),8))</f>
        <v>TCACGCATGATGTTTCATCTGCA</v>
      </c>
      <c r="F71">
        <f t="shared" ca="1" si="10"/>
        <v>23</v>
      </c>
      <c r="G71">
        <v>1</v>
      </c>
      <c r="H71" t="s">
        <v>111</v>
      </c>
      <c r="I71" s="165" t="s">
        <v>564</v>
      </c>
      <c r="J71" s="39">
        <f t="shared" ca="1" si="11"/>
        <v>0</v>
      </c>
      <c r="K71">
        <f t="shared" ca="1" si="9"/>
        <v>0</v>
      </c>
      <c r="L71">
        <f t="shared" ca="1" si="9"/>
        <v>0</v>
      </c>
      <c r="M71">
        <f t="shared" ca="1" si="9"/>
        <v>0</v>
      </c>
      <c r="N71" s="165">
        <f t="shared" ca="1" si="12"/>
        <v>0</v>
      </c>
      <c r="O71" s="166" t="str">
        <f>General!$B$1</f>
        <v>200504_P1_HL_ncov2019_Pool1</v>
      </c>
      <c r="P71" t="e">
        <f ca="1">OFFSET('UV quantification'!$B$36,MOD(ROW('UV quantification'!B104)-ROW('UV quantification'!$B$36),8),QUOTIENT(ROW('UV quantification'!B104)-ROW('UV quantification'!$B$36),8))</f>
        <v>#DIV/0!</v>
      </c>
      <c r="Q71" t="e">
        <f ca="1">OFFSET('UV quantification'!$B$26,MOD(ROW('UV quantification'!B104)-ROW('UV quantification'!$B$36),8),QUOTIENT(ROW('UV quantification'!B104)-ROW('UV quantification'!$B$36),8))</f>
        <v>#DIV/0!</v>
      </c>
      <c r="R71">
        <f ca="1">OFFSET('OP2'!$B$30,MOD(ROW('UV quantification'!B104)-ROW('UV quantification'!$B$36),8),QUOTIENT(ROW('UV quantification'!B104)-ROW('UV quantification'!$B$36),8))</f>
        <v>0</v>
      </c>
      <c r="T71" s="165"/>
    </row>
    <row r="72" spans="1:20" x14ac:dyDescent="0.35">
      <c r="A72" s="39" t="s">
        <v>573</v>
      </c>
      <c r="B72">
        <v>70</v>
      </c>
      <c r="C72" t="s">
        <v>574</v>
      </c>
      <c r="D72" t="str">
        <f ca="1">OFFSET(Syntheses!$B$19,MOD(ROW('UV quantification'!B105)-ROW('UV quantification'!$B$36),8),QUOTIENT(ROW('UV quantification'!B105)-ROW('UV quantification'!$B$36),8))</f>
        <v>nCoV-2019_59_RIGHT</v>
      </c>
      <c r="E72" t="str">
        <f ca="1">OFFSET(Syntheses!$B$8,MOD(ROW('UV quantification'!B105)-ROW('UV quantification'!$B$36),8),QUOTIENT(ROW('UV quantification'!B105)-ROW('UV quantification'!$B$36),8))</f>
        <v>AAGAGTCCTGTTACATTTTCAGCTTG</v>
      </c>
      <c r="F72">
        <f t="shared" ca="1" si="10"/>
        <v>26</v>
      </c>
      <c r="G72">
        <v>1</v>
      </c>
      <c r="H72" t="s">
        <v>124</v>
      </c>
      <c r="I72" s="165" t="s">
        <v>564</v>
      </c>
      <c r="J72" s="39">
        <f t="shared" ca="1" si="11"/>
        <v>0</v>
      </c>
      <c r="K72">
        <f t="shared" ca="1" si="9"/>
        <v>0</v>
      </c>
      <c r="L72">
        <f t="shared" ca="1" si="9"/>
        <v>0</v>
      </c>
      <c r="M72">
        <f t="shared" ca="1" si="9"/>
        <v>0</v>
      </c>
      <c r="N72" s="165">
        <f t="shared" ca="1" si="12"/>
        <v>0</v>
      </c>
      <c r="O72" s="166" t="str">
        <f>General!$B$1</f>
        <v>200504_P1_HL_ncov2019_Pool1</v>
      </c>
      <c r="P72" t="e">
        <f ca="1">OFFSET('UV quantification'!$B$36,MOD(ROW('UV quantification'!B105)-ROW('UV quantification'!$B$36),8),QUOTIENT(ROW('UV quantification'!B105)-ROW('UV quantification'!$B$36),8))</f>
        <v>#DIV/0!</v>
      </c>
      <c r="Q72" t="e">
        <f ca="1">OFFSET('UV quantification'!$B$26,MOD(ROW('UV quantification'!B105)-ROW('UV quantification'!$B$36),8),QUOTIENT(ROW('UV quantification'!B105)-ROW('UV quantification'!$B$36),8))</f>
        <v>#DIV/0!</v>
      </c>
      <c r="R72">
        <f ca="1">OFFSET('OP2'!$B$30,MOD(ROW('UV quantification'!B105)-ROW('UV quantification'!$B$36),8),QUOTIENT(ROW('UV quantification'!B105)-ROW('UV quantification'!$B$36),8))</f>
        <v>0</v>
      </c>
      <c r="T72" s="165"/>
    </row>
    <row r="73" spans="1:20" x14ac:dyDescent="0.35">
      <c r="A73" s="39" t="s">
        <v>575</v>
      </c>
      <c r="B73">
        <v>71</v>
      </c>
      <c r="C73" t="s">
        <v>576</v>
      </c>
      <c r="D73" t="str">
        <f ca="1">OFFSET(Syntheses!$B$19,MOD(ROW('UV quantification'!B106)-ROW('UV quantification'!$B$36),8),QUOTIENT(ROW('UV quantification'!B106)-ROW('UV quantification'!$B$36),8))</f>
        <v>nCoV-2019_61_LEFT</v>
      </c>
      <c r="E73" t="str">
        <f ca="1">OFFSET(Syntheses!$B$8,MOD(ROW('UV quantification'!B106)-ROW('UV quantification'!$B$36),8),QUOTIENT(ROW('UV quantification'!B106)-ROW('UV quantification'!$B$36),8))</f>
        <v>TGTTTATCACCCGCGAAGAAGC</v>
      </c>
      <c r="F73">
        <f t="shared" ca="1" si="10"/>
        <v>22</v>
      </c>
      <c r="G73">
        <v>1</v>
      </c>
      <c r="H73" t="s">
        <v>137</v>
      </c>
      <c r="I73" s="165" t="s">
        <v>564</v>
      </c>
      <c r="J73" s="39">
        <f t="shared" ca="1" si="11"/>
        <v>0</v>
      </c>
      <c r="K73">
        <f t="shared" ca="1" si="9"/>
        <v>0</v>
      </c>
      <c r="L73">
        <f t="shared" ca="1" si="9"/>
        <v>0</v>
      </c>
      <c r="M73">
        <f t="shared" ca="1" si="9"/>
        <v>0</v>
      </c>
      <c r="N73" s="165">
        <f t="shared" ca="1" si="12"/>
        <v>0</v>
      </c>
      <c r="O73" s="166" t="str">
        <f>General!$B$1</f>
        <v>200504_P1_HL_ncov2019_Pool1</v>
      </c>
      <c r="P73" t="e">
        <f ca="1">OFFSET('UV quantification'!$B$36,MOD(ROW('UV quantification'!B106)-ROW('UV quantification'!$B$36),8),QUOTIENT(ROW('UV quantification'!B106)-ROW('UV quantification'!$B$36),8))</f>
        <v>#DIV/0!</v>
      </c>
      <c r="Q73" t="e">
        <f ca="1">OFFSET('UV quantification'!$B$26,MOD(ROW('UV quantification'!B106)-ROW('UV quantification'!$B$36),8),QUOTIENT(ROW('UV quantification'!B106)-ROW('UV quantification'!$B$36),8))</f>
        <v>#DIV/0!</v>
      </c>
      <c r="R73">
        <f ca="1">OFFSET('OP2'!$B$30,MOD(ROW('UV quantification'!B106)-ROW('UV quantification'!$B$36),8),QUOTIENT(ROW('UV quantification'!B106)-ROW('UV quantification'!$B$36),8))</f>
        <v>0</v>
      </c>
      <c r="T73" s="165"/>
    </row>
    <row r="74" spans="1:20" x14ac:dyDescent="0.35">
      <c r="A74" s="39" t="s">
        <v>577</v>
      </c>
      <c r="B74">
        <v>72</v>
      </c>
      <c r="C74" t="s">
        <v>578</v>
      </c>
      <c r="D74" t="str">
        <f ca="1">OFFSET(Syntheses!$B$19,MOD(ROW('UV quantification'!B107)-ROW('UV quantification'!$B$36),8),QUOTIENT(ROW('UV quantification'!B107)-ROW('UV quantification'!$B$36),8))</f>
        <v>nCoV-2019_61_RIGHT</v>
      </c>
      <c r="E74" t="str">
        <f ca="1">OFFSET(Syntheses!$B$8,MOD(ROW('UV quantification'!B107)-ROW('UV quantification'!$B$36),8),QUOTIENT(ROW('UV quantification'!B107)-ROW('UV quantification'!$B$36),8))</f>
        <v>ATCACATAGACAACAGGTGCGC</v>
      </c>
      <c r="F74">
        <f t="shared" ca="1" si="10"/>
        <v>22</v>
      </c>
      <c r="G74">
        <v>1</v>
      </c>
      <c r="H74" t="s">
        <v>150</v>
      </c>
      <c r="I74" s="165" t="s">
        <v>564</v>
      </c>
      <c r="J74" s="39">
        <f t="shared" ca="1" si="11"/>
        <v>0</v>
      </c>
      <c r="K74">
        <f t="shared" ca="1" si="9"/>
        <v>0</v>
      </c>
      <c r="L74">
        <f t="shared" ca="1" si="9"/>
        <v>0</v>
      </c>
      <c r="M74">
        <f t="shared" ca="1" si="9"/>
        <v>0</v>
      </c>
      <c r="N74" s="165">
        <f t="shared" ca="1" si="12"/>
        <v>0</v>
      </c>
      <c r="O74" s="166" t="str">
        <f>General!$B$1</f>
        <v>200504_P1_HL_ncov2019_Pool1</v>
      </c>
      <c r="P74" t="e">
        <f ca="1">OFFSET('UV quantification'!$B$36,MOD(ROW('UV quantification'!B107)-ROW('UV quantification'!$B$36),8),QUOTIENT(ROW('UV quantification'!B107)-ROW('UV quantification'!$B$36),8))</f>
        <v>#DIV/0!</v>
      </c>
      <c r="Q74" t="e">
        <f ca="1">OFFSET('UV quantification'!$B$26,MOD(ROW('UV quantification'!B107)-ROW('UV quantification'!$B$36),8),QUOTIENT(ROW('UV quantification'!B107)-ROW('UV quantification'!$B$36),8))</f>
        <v>#DIV/0!</v>
      </c>
      <c r="R74">
        <f ca="1">OFFSET('OP2'!$B$30,MOD(ROW('UV quantification'!B107)-ROW('UV quantification'!$B$36),8),QUOTIENT(ROW('UV quantification'!B107)-ROW('UV quantification'!$B$36),8))</f>
        <v>0</v>
      </c>
      <c r="T74" s="165"/>
    </row>
    <row r="75" spans="1:20" x14ac:dyDescent="0.35">
      <c r="A75" s="39" t="s">
        <v>579</v>
      </c>
      <c r="B75">
        <v>73</v>
      </c>
      <c r="C75" t="s">
        <v>580</v>
      </c>
      <c r="D75" t="str">
        <f ca="1">OFFSET(Syntheses!$B$19,MOD(ROW('UV quantification'!B108)-ROW('UV quantification'!$B$36),8),QUOTIENT(ROW('UV quantification'!B108)-ROW('UV quantification'!$B$36),8))</f>
        <v>nCoV-2019_63_LEFT</v>
      </c>
      <c r="E75" t="str">
        <f ca="1">OFFSET(Syntheses!$B$8,MOD(ROW('UV quantification'!B108)-ROW('UV quantification'!$B$36),8),QUOTIENT(ROW('UV quantification'!B108)-ROW('UV quantification'!$B$36),8))</f>
        <v>TGTTAAGCGTGTTGACTGGACT</v>
      </c>
      <c r="F75">
        <f t="shared" ca="1" si="10"/>
        <v>22</v>
      </c>
      <c r="G75">
        <v>1</v>
      </c>
      <c r="H75" t="s">
        <v>59</v>
      </c>
      <c r="I75" s="165" t="s">
        <v>581</v>
      </c>
      <c r="J75" s="39">
        <f t="shared" ca="1" si="11"/>
        <v>0</v>
      </c>
      <c r="K75">
        <f t="shared" ca="1" si="9"/>
        <v>0</v>
      </c>
      <c r="L75">
        <f t="shared" ca="1" si="9"/>
        <v>0</v>
      </c>
      <c r="M75">
        <f t="shared" ca="1" si="9"/>
        <v>0</v>
      </c>
      <c r="N75" s="165">
        <f t="shared" ca="1" si="12"/>
        <v>0</v>
      </c>
      <c r="O75" s="166" t="str">
        <f>General!$B$1</f>
        <v>200504_P1_HL_ncov2019_Pool1</v>
      </c>
      <c r="P75" t="e">
        <f ca="1">OFFSET('UV quantification'!$B$36,MOD(ROW('UV quantification'!B108)-ROW('UV quantification'!$B$36),8),QUOTIENT(ROW('UV quantification'!B108)-ROW('UV quantification'!$B$36),8))</f>
        <v>#DIV/0!</v>
      </c>
      <c r="Q75" t="e">
        <f ca="1">OFFSET('UV quantification'!$B$26,MOD(ROW('UV quantification'!B108)-ROW('UV quantification'!$B$36),8),QUOTIENT(ROW('UV quantification'!B108)-ROW('UV quantification'!$B$36),8))</f>
        <v>#DIV/0!</v>
      </c>
      <c r="R75">
        <f ca="1">OFFSET('OP2'!$B$30,MOD(ROW('UV quantification'!B108)-ROW('UV quantification'!$B$36),8),QUOTIENT(ROW('UV quantification'!B108)-ROW('UV quantification'!$B$36),8))</f>
        <v>0</v>
      </c>
      <c r="T75" s="165"/>
    </row>
    <row r="76" spans="1:20" x14ac:dyDescent="0.35">
      <c r="A76" s="39" t="s">
        <v>582</v>
      </c>
      <c r="B76">
        <v>74</v>
      </c>
      <c r="C76" t="s">
        <v>583</v>
      </c>
      <c r="D76" t="str">
        <f ca="1">OFFSET(Syntheses!$B$19,MOD(ROW('UV quantification'!B109)-ROW('UV quantification'!$B$36),8),QUOTIENT(ROW('UV quantification'!B109)-ROW('UV quantification'!$B$36),8))</f>
        <v>nCoV-2019_63_RIGHT</v>
      </c>
      <c r="E76" t="str">
        <f ca="1">OFFSET(Syntheses!$B$8,MOD(ROW('UV quantification'!B109)-ROW('UV quantification'!$B$36),8),QUOTIENT(ROW('UV quantification'!B109)-ROW('UV quantification'!$B$36),8))</f>
        <v>ACAAACTGCCACCATCACAACC</v>
      </c>
      <c r="F76">
        <f t="shared" ca="1" si="10"/>
        <v>22</v>
      </c>
      <c r="G76">
        <v>1</v>
      </c>
      <c r="H76" t="s">
        <v>72</v>
      </c>
      <c r="I76" s="165" t="s">
        <v>581</v>
      </c>
      <c r="J76" s="39">
        <f t="shared" ca="1" si="11"/>
        <v>0</v>
      </c>
      <c r="K76">
        <f t="shared" ca="1" si="9"/>
        <v>0</v>
      </c>
      <c r="L76">
        <f t="shared" ca="1" si="9"/>
        <v>0</v>
      </c>
      <c r="M76">
        <f t="shared" ca="1" si="9"/>
        <v>0</v>
      </c>
      <c r="N76" s="165">
        <f t="shared" ca="1" si="12"/>
        <v>0</v>
      </c>
      <c r="O76" s="166" t="str">
        <f>General!$B$1</f>
        <v>200504_P1_HL_ncov2019_Pool1</v>
      </c>
      <c r="P76" t="e">
        <f ca="1">OFFSET('UV quantification'!$B$36,MOD(ROW('UV quantification'!B109)-ROW('UV quantification'!$B$36),8),QUOTIENT(ROW('UV quantification'!B109)-ROW('UV quantification'!$B$36),8))</f>
        <v>#DIV/0!</v>
      </c>
      <c r="Q76" t="e">
        <f ca="1">OFFSET('UV quantification'!$B$26,MOD(ROW('UV quantification'!B109)-ROW('UV quantification'!$B$36),8),QUOTIENT(ROW('UV quantification'!B109)-ROW('UV quantification'!$B$36),8))</f>
        <v>#DIV/0!</v>
      </c>
      <c r="R76">
        <f ca="1">OFFSET('OP2'!$B$30,MOD(ROW('UV quantification'!B109)-ROW('UV quantification'!$B$36),8),QUOTIENT(ROW('UV quantification'!B109)-ROW('UV quantification'!$B$36),8))</f>
        <v>0</v>
      </c>
      <c r="T76" s="165"/>
    </row>
    <row r="77" spans="1:20" x14ac:dyDescent="0.35">
      <c r="A77" s="39" t="s">
        <v>584</v>
      </c>
      <c r="B77">
        <v>75</v>
      </c>
      <c r="C77" t="s">
        <v>585</v>
      </c>
      <c r="D77" t="str">
        <f ca="1">OFFSET(Syntheses!$B$19,MOD(ROW('UV quantification'!B110)-ROW('UV quantification'!$B$36),8),QUOTIENT(ROW('UV quantification'!B110)-ROW('UV quantification'!$B$36),8))</f>
        <v>nCoV-2019_65_LEFT</v>
      </c>
      <c r="E77" t="str">
        <f ca="1">OFFSET(Syntheses!$B$8,MOD(ROW('UV quantification'!B110)-ROW('UV quantification'!$B$36),8),QUOTIENT(ROW('UV quantification'!B110)-ROW('UV quantification'!$B$36),8))</f>
        <v>GCTGGCTTTAGCTTGTGGGTTT</v>
      </c>
      <c r="F77">
        <f t="shared" ca="1" si="10"/>
        <v>22</v>
      </c>
      <c r="G77">
        <v>1</v>
      </c>
      <c r="H77" t="s">
        <v>85</v>
      </c>
      <c r="I77" s="165" t="s">
        <v>581</v>
      </c>
      <c r="J77" s="39">
        <f t="shared" ca="1" si="11"/>
        <v>1</v>
      </c>
      <c r="K77">
        <f t="shared" ca="1" si="9"/>
        <v>0</v>
      </c>
      <c r="L77">
        <f t="shared" ca="1" si="9"/>
        <v>0</v>
      </c>
      <c r="M77">
        <f t="shared" ca="1" si="9"/>
        <v>0</v>
      </c>
      <c r="N77" s="165">
        <f t="shared" ca="1" si="12"/>
        <v>1</v>
      </c>
      <c r="O77" s="166" t="str">
        <f>General!$B$1</f>
        <v>200504_P1_HL_ncov2019_Pool1</v>
      </c>
      <c r="P77" t="e">
        <f ca="1">OFFSET('UV quantification'!$B$36,MOD(ROW('UV quantification'!B110)-ROW('UV quantification'!$B$36),8),QUOTIENT(ROW('UV quantification'!B110)-ROW('UV quantification'!$B$36),8))</f>
        <v>#DIV/0!</v>
      </c>
      <c r="Q77" t="e">
        <f ca="1">OFFSET('UV quantification'!$B$26,MOD(ROW('UV quantification'!B110)-ROW('UV quantification'!$B$36),8),QUOTIENT(ROW('UV quantification'!B110)-ROW('UV quantification'!$B$36),8))</f>
        <v>#DIV/0!</v>
      </c>
      <c r="R77">
        <f ca="1">OFFSET('OP2'!$B$30,MOD(ROW('UV quantification'!B110)-ROW('UV quantification'!$B$36),8),QUOTIENT(ROW('UV quantification'!B110)-ROW('UV quantification'!$B$36),8))</f>
        <v>0</v>
      </c>
      <c r="T77" s="165"/>
    </row>
    <row r="78" spans="1:20" x14ac:dyDescent="0.35">
      <c r="A78" s="39" t="s">
        <v>586</v>
      </c>
      <c r="B78">
        <v>76</v>
      </c>
      <c r="C78" t="s">
        <v>587</v>
      </c>
      <c r="D78" t="str">
        <f ca="1">OFFSET(Syntheses!$B$19,MOD(ROW('UV quantification'!B111)-ROW('UV quantification'!$B$36),8),QUOTIENT(ROW('UV quantification'!B111)-ROW('UV quantification'!$B$36),8))</f>
        <v>nCoV-2019_65_RIGHT</v>
      </c>
      <c r="E78" t="str">
        <f ca="1">OFFSET(Syntheses!$B$8,MOD(ROW('UV quantification'!B111)-ROW('UV quantification'!$B$36),8),QUOTIENT(ROW('UV quantification'!B111)-ROW('UV quantification'!$B$36),8))</f>
        <v>TGTCAGTCATAGAACAAACACCAATAGT</v>
      </c>
      <c r="F78">
        <f t="shared" ca="1" si="10"/>
        <v>28</v>
      </c>
      <c r="G78">
        <v>1</v>
      </c>
      <c r="H78" t="s">
        <v>98</v>
      </c>
      <c r="I78" s="165" t="s">
        <v>581</v>
      </c>
      <c r="J78" s="39">
        <f t="shared" ca="1" si="11"/>
        <v>0</v>
      </c>
      <c r="K78">
        <f t="shared" ca="1" si="9"/>
        <v>0</v>
      </c>
      <c r="L78">
        <f t="shared" ca="1" si="9"/>
        <v>0</v>
      </c>
      <c r="M78">
        <f t="shared" ca="1" si="9"/>
        <v>0</v>
      </c>
      <c r="N78" s="165">
        <f t="shared" ca="1" si="12"/>
        <v>0</v>
      </c>
      <c r="O78" s="166" t="str">
        <f>General!$B$1</f>
        <v>200504_P1_HL_ncov2019_Pool1</v>
      </c>
      <c r="P78" t="e">
        <f ca="1">OFFSET('UV quantification'!$B$36,MOD(ROW('UV quantification'!B111)-ROW('UV quantification'!$B$36),8),QUOTIENT(ROW('UV quantification'!B111)-ROW('UV quantification'!$B$36),8))</f>
        <v>#DIV/0!</v>
      </c>
      <c r="Q78" t="e">
        <f ca="1">OFFSET('UV quantification'!$B$26,MOD(ROW('UV quantification'!B111)-ROW('UV quantification'!$B$36),8),QUOTIENT(ROW('UV quantification'!B111)-ROW('UV quantification'!$B$36),8))</f>
        <v>#DIV/0!</v>
      </c>
      <c r="R78">
        <f ca="1">OFFSET('OP2'!$B$30,MOD(ROW('UV quantification'!B111)-ROW('UV quantification'!$B$36),8),QUOTIENT(ROW('UV quantification'!B111)-ROW('UV quantification'!$B$36),8))</f>
        <v>0</v>
      </c>
      <c r="T78" s="165"/>
    </row>
    <row r="79" spans="1:20" x14ac:dyDescent="0.35">
      <c r="A79" s="39" t="s">
        <v>588</v>
      </c>
      <c r="B79">
        <v>77</v>
      </c>
      <c r="C79" t="s">
        <v>589</v>
      </c>
      <c r="D79" t="str">
        <f ca="1">OFFSET(Syntheses!$B$19,MOD(ROW('UV quantification'!B112)-ROW('UV quantification'!$B$36),8),QUOTIENT(ROW('UV quantification'!B112)-ROW('UV quantification'!$B$36),8))</f>
        <v>nCoV-2019_67_LEFT</v>
      </c>
      <c r="E79" t="str">
        <f ca="1">OFFSET(Syntheses!$B$8,MOD(ROW('UV quantification'!B112)-ROW('UV quantification'!$B$36),8),QUOTIENT(ROW('UV quantification'!B112)-ROW('UV quantification'!$B$36),8))</f>
        <v>GTTGTCCAACAATTACCTGAAACTTACT</v>
      </c>
      <c r="F79">
        <f t="shared" ca="1" si="10"/>
        <v>28</v>
      </c>
      <c r="G79">
        <v>1</v>
      </c>
      <c r="H79" t="s">
        <v>111</v>
      </c>
      <c r="I79" s="165" t="s">
        <v>581</v>
      </c>
      <c r="J79" s="39">
        <f t="shared" ca="1" si="11"/>
        <v>0</v>
      </c>
      <c r="K79">
        <f t="shared" ca="1" si="9"/>
        <v>0</v>
      </c>
      <c r="L79">
        <f t="shared" ca="1" si="9"/>
        <v>0</v>
      </c>
      <c r="M79">
        <f t="shared" ca="1" si="9"/>
        <v>0</v>
      </c>
      <c r="N79" s="165">
        <f t="shared" ca="1" si="12"/>
        <v>0</v>
      </c>
      <c r="O79" s="166" t="str">
        <f>General!$B$1</f>
        <v>200504_P1_HL_ncov2019_Pool1</v>
      </c>
      <c r="P79" t="e">
        <f ca="1">OFFSET('UV quantification'!$B$36,MOD(ROW('UV quantification'!B112)-ROW('UV quantification'!$B$36),8),QUOTIENT(ROW('UV quantification'!B112)-ROW('UV quantification'!$B$36),8))</f>
        <v>#DIV/0!</v>
      </c>
      <c r="Q79" t="e">
        <f ca="1">OFFSET('UV quantification'!$B$26,MOD(ROW('UV quantification'!B112)-ROW('UV quantification'!$B$36),8),QUOTIENT(ROW('UV quantification'!B112)-ROW('UV quantification'!$B$36),8))</f>
        <v>#DIV/0!</v>
      </c>
      <c r="R79">
        <f ca="1">OFFSET('OP2'!$B$30,MOD(ROW('UV quantification'!B112)-ROW('UV quantification'!$B$36),8),QUOTIENT(ROW('UV quantification'!B112)-ROW('UV quantification'!$B$36),8))</f>
        <v>0</v>
      </c>
      <c r="T79" s="165"/>
    </row>
    <row r="80" spans="1:20" x14ac:dyDescent="0.35">
      <c r="A80" s="39" t="s">
        <v>590</v>
      </c>
      <c r="B80">
        <v>78</v>
      </c>
      <c r="C80" t="s">
        <v>591</v>
      </c>
      <c r="D80" t="str">
        <f ca="1">OFFSET(Syntheses!$B$19,MOD(ROW('UV quantification'!B113)-ROW('UV quantification'!$B$36),8),QUOTIENT(ROW('UV quantification'!B113)-ROW('UV quantification'!$B$36),8))</f>
        <v>nCoV-2019_67_RIGHT</v>
      </c>
      <c r="E80" t="str">
        <f ca="1">OFFSET(Syntheses!$B$8,MOD(ROW('UV quantification'!B113)-ROW('UV quantification'!$B$36),8),QUOTIENT(ROW('UV quantification'!B113)-ROW('UV quantification'!$B$36),8))</f>
        <v>CAACCTTAGAAACTACAGATAAATCTTGGG</v>
      </c>
      <c r="F80">
        <f t="shared" ca="1" si="10"/>
        <v>30</v>
      </c>
      <c r="G80">
        <v>1</v>
      </c>
      <c r="H80" t="s">
        <v>124</v>
      </c>
      <c r="I80" s="165" t="s">
        <v>581</v>
      </c>
      <c r="J80" s="39">
        <f t="shared" ca="1" si="11"/>
        <v>0</v>
      </c>
      <c r="K80">
        <f t="shared" ca="1" si="9"/>
        <v>0</v>
      </c>
      <c r="L80">
        <f t="shared" ca="1" si="9"/>
        <v>0</v>
      </c>
      <c r="M80">
        <f t="shared" ca="1" si="9"/>
        <v>0</v>
      </c>
      <c r="N80" s="165">
        <f t="shared" ca="1" si="12"/>
        <v>0</v>
      </c>
      <c r="O80" s="166" t="str">
        <f>General!$B$1</f>
        <v>200504_P1_HL_ncov2019_Pool1</v>
      </c>
      <c r="P80" t="e">
        <f ca="1">OFFSET('UV quantification'!$B$36,MOD(ROW('UV quantification'!B113)-ROW('UV quantification'!$B$36),8),QUOTIENT(ROW('UV quantification'!B113)-ROW('UV quantification'!$B$36),8))</f>
        <v>#DIV/0!</v>
      </c>
      <c r="Q80" t="e">
        <f ca="1">OFFSET('UV quantification'!$B$26,MOD(ROW('UV quantification'!B113)-ROW('UV quantification'!$B$36),8),QUOTIENT(ROW('UV quantification'!B113)-ROW('UV quantification'!$B$36),8))</f>
        <v>#DIV/0!</v>
      </c>
      <c r="R80">
        <f ca="1">OFFSET('OP2'!$B$30,MOD(ROW('UV quantification'!B113)-ROW('UV quantification'!$B$36),8),QUOTIENT(ROW('UV quantification'!B113)-ROW('UV quantification'!$B$36),8))</f>
        <v>0</v>
      </c>
      <c r="T80" s="165"/>
    </row>
    <row r="81" spans="1:20" x14ac:dyDescent="0.35">
      <c r="A81" s="39" t="s">
        <v>592</v>
      </c>
      <c r="B81">
        <v>79</v>
      </c>
      <c r="C81" t="s">
        <v>593</v>
      </c>
      <c r="D81" t="str">
        <f ca="1">OFFSET(Syntheses!$B$19,MOD(ROW('UV quantification'!B114)-ROW('UV quantification'!$B$36),8),QUOTIENT(ROW('UV quantification'!B114)-ROW('UV quantification'!$B$36),8))</f>
        <v>nCoV-2019_69_LEFT</v>
      </c>
      <c r="E81" t="str">
        <f ca="1">OFFSET(Syntheses!$B$8,MOD(ROW('UV quantification'!B114)-ROW('UV quantification'!$B$36),8),QUOTIENT(ROW('UV quantification'!B114)-ROW('UV quantification'!$B$36),8))</f>
        <v>TGTCGCAAAATATACTCAACTGTGTCA</v>
      </c>
      <c r="F81">
        <f t="shared" ca="1" si="10"/>
        <v>27</v>
      </c>
      <c r="G81">
        <v>1</v>
      </c>
      <c r="H81" t="s">
        <v>137</v>
      </c>
      <c r="I81" s="165" t="s">
        <v>581</v>
      </c>
      <c r="J81" s="39">
        <f t="shared" ca="1" si="11"/>
        <v>0</v>
      </c>
      <c r="K81">
        <f t="shared" ca="1" si="9"/>
        <v>0</v>
      </c>
      <c r="L81">
        <f t="shared" ca="1" si="9"/>
        <v>0</v>
      </c>
      <c r="M81">
        <f t="shared" ca="1" si="9"/>
        <v>0</v>
      </c>
      <c r="N81" s="165">
        <f t="shared" ca="1" si="12"/>
        <v>0</v>
      </c>
      <c r="O81" s="166" t="str">
        <f>General!$B$1</f>
        <v>200504_P1_HL_ncov2019_Pool1</v>
      </c>
      <c r="P81" t="e">
        <f ca="1">OFFSET('UV quantification'!$B$36,MOD(ROW('UV quantification'!B114)-ROW('UV quantification'!$B$36),8),QUOTIENT(ROW('UV quantification'!B114)-ROW('UV quantification'!$B$36),8))</f>
        <v>#DIV/0!</v>
      </c>
      <c r="Q81" t="e">
        <f ca="1">OFFSET('UV quantification'!$B$26,MOD(ROW('UV quantification'!B114)-ROW('UV quantification'!$B$36),8),QUOTIENT(ROW('UV quantification'!B114)-ROW('UV quantification'!$B$36),8))</f>
        <v>#DIV/0!</v>
      </c>
      <c r="R81">
        <f ca="1">OFFSET('OP2'!$B$30,MOD(ROW('UV quantification'!B114)-ROW('UV quantification'!$B$36),8),QUOTIENT(ROW('UV quantification'!B114)-ROW('UV quantification'!$B$36),8))</f>
        <v>0</v>
      </c>
      <c r="T81" s="165"/>
    </row>
    <row r="82" spans="1:20" x14ac:dyDescent="0.35">
      <c r="A82" s="39" t="s">
        <v>594</v>
      </c>
      <c r="B82">
        <v>80</v>
      </c>
      <c r="C82" t="s">
        <v>595</v>
      </c>
      <c r="D82" t="str">
        <f ca="1">OFFSET(Syntheses!$B$19,MOD(ROW('UV quantification'!B115)-ROW('UV quantification'!$B$36),8),QUOTIENT(ROW('UV quantification'!B115)-ROW('UV quantification'!$B$36),8))</f>
        <v>nCoV-2019_69_RIGHT</v>
      </c>
      <c r="E82" t="str">
        <f ca="1">OFFSET(Syntheses!$B$8,MOD(ROW('UV quantification'!B115)-ROW('UV quantification'!$B$36),8),QUOTIENT(ROW('UV quantification'!B115)-ROW('UV quantification'!$B$36),8))</f>
        <v>TCTTTATAGCCACGGAACCTCCA</v>
      </c>
      <c r="F82">
        <f t="shared" ca="1" si="10"/>
        <v>23</v>
      </c>
      <c r="G82">
        <v>1</v>
      </c>
      <c r="H82" t="s">
        <v>150</v>
      </c>
      <c r="I82" s="165" t="s">
        <v>581</v>
      </c>
      <c r="J82" s="39">
        <f t="shared" ca="1" si="11"/>
        <v>0</v>
      </c>
      <c r="K82">
        <f t="shared" ca="1" si="9"/>
        <v>0</v>
      </c>
      <c r="L82">
        <f t="shared" ca="1" si="9"/>
        <v>0</v>
      </c>
      <c r="M82">
        <f t="shared" ca="1" si="9"/>
        <v>0</v>
      </c>
      <c r="N82" s="165">
        <f t="shared" ca="1" si="12"/>
        <v>0</v>
      </c>
      <c r="O82" s="166" t="str">
        <f>General!$B$1</f>
        <v>200504_P1_HL_ncov2019_Pool1</v>
      </c>
      <c r="P82" t="e">
        <f ca="1">OFFSET('UV quantification'!$B$36,MOD(ROW('UV quantification'!B115)-ROW('UV quantification'!$B$36),8),QUOTIENT(ROW('UV quantification'!B115)-ROW('UV quantification'!$B$36),8))</f>
        <v>#DIV/0!</v>
      </c>
      <c r="Q82" t="e">
        <f ca="1">OFFSET('UV quantification'!$B$26,MOD(ROW('UV quantification'!B115)-ROW('UV quantification'!$B$36),8),QUOTIENT(ROW('UV quantification'!B115)-ROW('UV quantification'!$B$36),8))</f>
        <v>#DIV/0!</v>
      </c>
      <c r="R82">
        <f ca="1">OFFSET('OP2'!$B$30,MOD(ROW('UV quantification'!B115)-ROW('UV quantification'!$B$36),8),QUOTIENT(ROW('UV quantification'!B115)-ROW('UV quantification'!$B$36),8))</f>
        <v>0</v>
      </c>
      <c r="T82" s="165"/>
    </row>
    <row r="83" spans="1:20" x14ac:dyDescent="0.35">
      <c r="A83" s="39" t="s">
        <v>596</v>
      </c>
      <c r="B83">
        <v>81</v>
      </c>
      <c r="C83" t="s">
        <v>597</v>
      </c>
      <c r="D83" t="str">
        <f ca="1">OFFSET(Syntheses!$B$19,MOD(ROW('UV quantification'!B116)-ROW('UV quantification'!$B$36),8),QUOTIENT(ROW('UV quantification'!B116)-ROW('UV quantification'!$B$36),8))</f>
        <v>nCoV-2019_71_LEFT</v>
      </c>
      <c r="E83" t="str">
        <f ca="1">OFFSET(Syntheses!$B$8,MOD(ROW('UV quantification'!B116)-ROW('UV quantification'!$B$36),8),QUOTIENT(ROW('UV quantification'!B116)-ROW('UV quantification'!$B$36),8))</f>
        <v>ACAAATCCAATTCAGTTGTCTTCCTATTC</v>
      </c>
      <c r="F83">
        <f t="shared" ca="1" si="10"/>
        <v>29</v>
      </c>
      <c r="G83">
        <v>1</v>
      </c>
      <c r="H83" t="s">
        <v>59</v>
      </c>
      <c r="I83" s="165" t="s">
        <v>598</v>
      </c>
      <c r="J83" s="39">
        <f t="shared" ca="1" si="11"/>
        <v>1</v>
      </c>
      <c r="K83">
        <f t="shared" ref="K83:M98" ca="1" si="13">(LEN($E83)-LEN(SUBSTITUTE($E83,K$2,"")))/LEN(K$2)</f>
        <v>0</v>
      </c>
      <c r="L83">
        <f t="shared" ca="1" si="13"/>
        <v>1</v>
      </c>
      <c r="M83">
        <f t="shared" ca="1" si="13"/>
        <v>0</v>
      </c>
      <c r="N83" s="165">
        <f t="shared" ca="1" si="12"/>
        <v>0</v>
      </c>
      <c r="O83" s="166" t="str">
        <f>General!$B$1</f>
        <v>200504_P1_HL_ncov2019_Pool1</v>
      </c>
      <c r="P83" t="e">
        <f ca="1">OFFSET('UV quantification'!$B$36,MOD(ROW('UV quantification'!B116)-ROW('UV quantification'!$B$36),8),QUOTIENT(ROW('UV quantification'!B116)-ROW('UV quantification'!$B$36),8))</f>
        <v>#DIV/0!</v>
      </c>
      <c r="Q83" t="e">
        <f ca="1">OFFSET('UV quantification'!$B$26,MOD(ROW('UV quantification'!B116)-ROW('UV quantification'!$B$36),8),QUOTIENT(ROW('UV quantification'!B116)-ROW('UV quantification'!$B$36),8))</f>
        <v>#DIV/0!</v>
      </c>
      <c r="R83">
        <f ca="1">OFFSET('OP2'!$B$30,MOD(ROW('UV quantification'!B116)-ROW('UV quantification'!$B$36),8),QUOTIENT(ROW('UV quantification'!B116)-ROW('UV quantification'!$B$36),8))</f>
        <v>0</v>
      </c>
      <c r="T83" s="165"/>
    </row>
    <row r="84" spans="1:20" x14ac:dyDescent="0.35">
      <c r="A84" s="39" t="s">
        <v>599</v>
      </c>
      <c r="B84">
        <v>82</v>
      </c>
      <c r="C84" t="s">
        <v>600</v>
      </c>
      <c r="D84" t="str">
        <f ca="1">OFFSET(Syntheses!$B$19,MOD(ROW('UV quantification'!B117)-ROW('UV quantification'!$B$36),8),QUOTIENT(ROW('UV quantification'!B117)-ROW('UV quantification'!$B$36),8))</f>
        <v>nCoV-2019_71_RIGHT</v>
      </c>
      <c r="E84" t="str">
        <f ca="1">OFFSET(Syntheses!$B$8,MOD(ROW('UV quantification'!B117)-ROW('UV quantification'!$B$36),8),QUOTIENT(ROW('UV quantification'!B117)-ROW('UV quantification'!$B$36),8))</f>
        <v>TGGAAAAGAAAGGTAAGAACAAGTCCT</v>
      </c>
      <c r="F84">
        <f t="shared" ca="1" si="10"/>
        <v>27</v>
      </c>
      <c r="G84">
        <v>1</v>
      </c>
      <c r="H84" t="s">
        <v>72</v>
      </c>
      <c r="I84" s="165" t="s">
        <v>598</v>
      </c>
      <c r="J84" s="39">
        <f t="shared" ca="1" si="11"/>
        <v>0</v>
      </c>
      <c r="K84">
        <f t="shared" ca="1" si="13"/>
        <v>0</v>
      </c>
      <c r="L84">
        <f t="shared" ca="1" si="13"/>
        <v>0</v>
      </c>
      <c r="M84">
        <f t="shared" ca="1" si="13"/>
        <v>0</v>
      </c>
      <c r="N84" s="165">
        <f t="shared" ca="1" si="12"/>
        <v>0</v>
      </c>
      <c r="O84" s="166" t="str">
        <f>General!$B$1</f>
        <v>200504_P1_HL_ncov2019_Pool1</v>
      </c>
      <c r="P84" t="e">
        <f ca="1">OFFSET('UV quantification'!$B$36,MOD(ROW('UV quantification'!B117)-ROW('UV quantification'!$B$36),8),QUOTIENT(ROW('UV quantification'!B117)-ROW('UV quantification'!$B$36),8))</f>
        <v>#DIV/0!</v>
      </c>
      <c r="Q84" t="e">
        <f ca="1">OFFSET('UV quantification'!$B$26,MOD(ROW('UV quantification'!B117)-ROW('UV quantification'!$B$36),8),QUOTIENT(ROW('UV quantification'!B117)-ROW('UV quantification'!$B$36),8))</f>
        <v>#DIV/0!</v>
      </c>
      <c r="R84">
        <f ca="1">OFFSET('OP2'!$B$30,MOD(ROW('UV quantification'!B117)-ROW('UV quantification'!$B$36),8),QUOTIENT(ROW('UV quantification'!B117)-ROW('UV quantification'!$B$36),8))</f>
        <v>0</v>
      </c>
      <c r="T84" s="165"/>
    </row>
    <row r="85" spans="1:20" x14ac:dyDescent="0.35">
      <c r="A85" s="39" t="s">
        <v>601</v>
      </c>
      <c r="B85">
        <v>83</v>
      </c>
      <c r="C85" t="s">
        <v>602</v>
      </c>
      <c r="D85" t="str">
        <f ca="1">OFFSET(Syntheses!$B$19,MOD(ROW('UV quantification'!B118)-ROW('UV quantification'!$B$36),8),QUOTIENT(ROW('UV quantification'!B118)-ROW('UV quantification'!$B$36),8))</f>
        <v>nCoV-2019_73_LEFT</v>
      </c>
      <c r="E85" t="str">
        <f ca="1">OFFSET(Syntheses!$B$8,MOD(ROW('UV quantification'!B118)-ROW('UV quantification'!$B$36),8),QUOTIENT(ROW('UV quantification'!B118)-ROW('UV quantification'!$B$36),8))</f>
        <v>CAATTTTGTAATGATCCATTTTTGGGTGT</v>
      </c>
      <c r="F85">
        <f t="shared" ca="1" si="10"/>
        <v>29</v>
      </c>
      <c r="G85">
        <v>1</v>
      </c>
      <c r="H85" t="s">
        <v>85</v>
      </c>
      <c r="I85" s="165" t="s">
        <v>598</v>
      </c>
      <c r="J85" s="39">
        <f t="shared" ca="1" si="11"/>
        <v>1</v>
      </c>
      <c r="K85">
        <f t="shared" ca="1" si="13"/>
        <v>0</v>
      </c>
      <c r="L85">
        <f t="shared" ca="1" si="13"/>
        <v>0</v>
      </c>
      <c r="M85">
        <f t="shared" ca="1" si="13"/>
        <v>0</v>
      </c>
      <c r="N85" s="165">
        <f t="shared" ca="1" si="12"/>
        <v>1</v>
      </c>
      <c r="O85" s="166" t="str">
        <f>General!$B$1</f>
        <v>200504_P1_HL_ncov2019_Pool1</v>
      </c>
      <c r="P85" t="e">
        <f ca="1">OFFSET('UV quantification'!$B$36,MOD(ROW('UV quantification'!B118)-ROW('UV quantification'!$B$36),8),QUOTIENT(ROW('UV quantification'!B118)-ROW('UV quantification'!$B$36),8))</f>
        <v>#DIV/0!</v>
      </c>
      <c r="Q85" t="e">
        <f ca="1">OFFSET('UV quantification'!$B$26,MOD(ROW('UV quantification'!B118)-ROW('UV quantification'!$B$36),8),QUOTIENT(ROW('UV quantification'!B118)-ROW('UV quantification'!$B$36),8))</f>
        <v>#DIV/0!</v>
      </c>
      <c r="R85">
        <f ca="1">OFFSET('OP2'!$B$30,MOD(ROW('UV quantification'!B118)-ROW('UV quantification'!$B$36),8),QUOTIENT(ROW('UV quantification'!B118)-ROW('UV quantification'!$B$36),8))</f>
        <v>0</v>
      </c>
      <c r="T85" s="165"/>
    </row>
    <row r="86" spans="1:20" x14ac:dyDescent="0.35">
      <c r="A86" s="39" t="s">
        <v>603</v>
      </c>
      <c r="B86">
        <v>84</v>
      </c>
      <c r="C86" t="s">
        <v>604</v>
      </c>
      <c r="D86" t="str">
        <f ca="1">OFFSET(Syntheses!$B$19,MOD(ROW('UV quantification'!B119)-ROW('UV quantification'!$B$36),8),QUOTIENT(ROW('UV quantification'!B119)-ROW('UV quantification'!$B$36),8))</f>
        <v>nCoV-2019_73_RIGHT</v>
      </c>
      <c r="E86" t="str">
        <f ca="1">OFFSET(Syntheses!$B$8,MOD(ROW('UV quantification'!B119)-ROW('UV quantification'!$B$36),8),QUOTIENT(ROW('UV quantification'!B119)-ROW('UV quantification'!$B$36),8))</f>
        <v>CACCAGCTGTCCAACCTGAAGA</v>
      </c>
      <c r="F86">
        <f t="shared" ca="1" si="10"/>
        <v>22</v>
      </c>
      <c r="G86">
        <v>1</v>
      </c>
      <c r="H86" t="s">
        <v>98</v>
      </c>
      <c r="I86" s="165" t="s">
        <v>598</v>
      </c>
      <c r="J86" s="39">
        <f t="shared" ca="1" si="11"/>
        <v>0</v>
      </c>
      <c r="K86">
        <f t="shared" ca="1" si="13"/>
        <v>0</v>
      </c>
      <c r="L86">
        <f t="shared" ca="1" si="13"/>
        <v>0</v>
      </c>
      <c r="M86">
        <f t="shared" ca="1" si="13"/>
        <v>0</v>
      </c>
      <c r="N86" s="165">
        <f t="shared" ca="1" si="12"/>
        <v>0</v>
      </c>
      <c r="O86" s="166" t="str">
        <f>General!$B$1</f>
        <v>200504_P1_HL_ncov2019_Pool1</v>
      </c>
      <c r="P86" t="e">
        <f ca="1">OFFSET('UV quantification'!$B$36,MOD(ROW('UV quantification'!B119)-ROW('UV quantification'!$B$36),8),QUOTIENT(ROW('UV quantification'!B119)-ROW('UV quantification'!$B$36),8))</f>
        <v>#DIV/0!</v>
      </c>
      <c r="Q86" t="e">
        <f ca="1">OFFSET('UV quantification'!$B$26,MOD(ROW('UV quantification'!B119)-ROW('UV quantification'!$B$36),8),QUOTIENT(ROW('UV quantification'!B119)-ROW('UV quantification'!$B$36),8))</f>
        <v>#DIV/0!</v>
      </c>
      <c r="R86">
        <f ca="1">OFFSET('OP2'!$B$30,MOD(ROW('UV quantification'!B119)-ROW('UV quantification'!$B$36),8),QUOTIENT(ROW('UV quantification'!B119)-ROW('UV quantification'!$B$36),8))</f>
        <v>0</v>
      </c>
      <c r="T86" s="165"/>
    </row>
    <row r="87" spans="1:20" x14ac:dyDescent="0.35">
      <c r="A87" s="39" t="s">
        <v>605</v>
      </c>
      <c r="B87">
        <v>85</v>
      </c>
      <c r="C87" t="s">
        <v>606</v>
      </c>
      <c r="D87" t="str">
        <f ca="1">OFFSET(Syntheses!$B$19,MOD(ROW('UV quantification'!B120)-ROW('UV quantification'!$B$36),8),QUOTIENT(ROW('UV quantification'!B120)-ROW('UV quantification'!$B$36),8))</f>
        <v>nCoV-2019_75_LEFT</v>
      </c>
      <c r="E87" t="str">
        <f ca="1">OFFSET(Syntheses!$B$8,MOD(ROW('UV quantification'!B120)-ROW('UV quantification'!$B$36),8),QUOTIENT(ROW('UV quantification'!B120)-ROW('UV quantification'!$B$36),8))</f>
        <v>AGAGTCCAACCAACAGAATCTATTGT</v>
      </c>
      <c r="F87">
        <f t="shared" ca="1" si="10"/>
        <v>26</v>
      </c>
      <c r="G87">
        <v>1</v>
      </c>
      <c r="H87" t="s">
        <v>111</v>
      </c>
      <c r="I87" s="165" t="s">
        <v>598</v>
      </c>
      <c r="J87" s="39">
        <f t="shared" ca="1" si="11"/>
        <v>0</v>
      </c>
      <c r="K87">
        <f t="shared" ca="1" si="13"/>
        <v>0</v>
      </c>
      <c r="L87">
        <f t="shared" ca="1" si="13"/>
        <v>0</v>
      </c>
      <c r="M87">
        <f t="shared" ca="1" si="13"/>
        <v>0</v>
      </c>
      <c r="N87" s="165">
        <f t="shared" ca="1" si="12"/>
        <v>0</v>
      </c>
      <c r="O87" s="166" t="str">
        <f>General!$B$1</f>
        <v>200504_P1_HL_ncov2019_Pool1</v>
      </c>
      <c r="P87" t="e">
        <f ca="1">OFFSET('UV quantification'!$B$36,MOD(ROW('UV quantification'!B120)-ROW('UV quantification'!$B$36),8),QUOTIENT(ROW('UV quantification'!B120)-ROW('UV quantification'!$B$36),8))</f>
        <v>#DIV/0!</v>
      </c>
      <c r="Q87" t="e">
        <f ca="1">OFFSET('UV quantification'!$B$26,MOD(ROW('UV quantification'!B120)-ROW('UV quantification'!$B$36),8),QUOTIENT(ROW('UV quantification'!B120)-ROW('UV quantification'!$B$36),8))</f>
        <v>#DIV/0!</v>
      </c>
      <c r="R87">
        <f ca="1">OFFSET('OP2'!$B$30,MOD(ROW('UV quantification'!B120)-ROW('UV quantification'!$B$36),8),QUOTIENT(ROW('UV quantification'!B120)-ROW('UV quantification'!$B$36),8))</f>
        <v>0</v>
      </c>
      <c r="T87" s="165"/>
    </row>
    <row r="88" spans="1:20" x14ac:dyDescent="0.35">
      <c r="A88" s="39" t="s">
        <v>607</v>
      </c>
      <c r="B88">
        <v>86</v>
      </c>
      <c r="C88" t="s">
        <v>608</v>
      </c>
      <c r="D88" t="str">
        <f ca="1">OFFSET(Syntheses!$B$19,MOD(ROW('UV quantification'!B121)-ROW('UV quantification'!$B$36),8),QUOTIENT(ROW('UV quantification'!B121)-ROW('UV quantification'!$B$36),8))</f>
        <v>nCoV-2019_75_RIGHT</v>
      </c>
      <c r="E88" t="str">
        <f ca="1">OFFSET(Syntheses!$B$8,MOD(ROW('UV quantification'!B121)-ROW('UV quantification'!$B$36),8),QUOTIENT(ROW('UV quantification'!B121)-ROW('UV quantification'!$B$36),8))</f>
        <v>ACCACCAACCTTAGAATCAAGATTGT</v>
      </c>
      <c r="F88">
        <f t="shared" ca="1" si="10"/>
        <v>26</v>
      </c>
      <c r="G88">
        <v>1</v>
      </c>
      <c r="H88" t="s">
        <v>124</v>
      </c>
      <c r="I88" s="165" t="s">
        <v>598</v>
      </c>
      <c r="J88" s="39">
        <f t="shared" ca="1" si="11"/>
        <v>0</v>
      </c>
      <c r="K88">
        <f t="shared" ca="1" si="13"/>
        <v>0</v>
      </c>
      <c r="L88">
        <f t="shared" ca="1" si="13"/>
        <v>0</v>
      </c>
      <c r="M88">
        <f t="shared" ca="1" si="13"/>
        <v>0</v>
      </c>
      <c r="N88" s="165">
        <f t="shared" ca="1" si="12"/>
        <v>0</v>
      </c>
      <c r="O88" s="166" t="str">
        <f>General!$B$1</f>
        <v>200504_P1_HL_ncov2019_Pool1</v>
      </c>
      <c r="P88" t="e">
        <f ca="1">OFFSET('UV quantification'!$B$36,MOD(ROW('UV quantification'!B121)-ROW('UV quantification'!$B$36),8),QUOTIENT(ROW('UV quantification'!B121)-ROW('UV quantification'!$B$36),8))</f>
        <v>#DIV/0!</v>
      </c>
      <c r="Q88" t="e">
        <f ca="1">OFFSET('UV quantification'!$B$26,MOD(ROW('UV quantification'!B121)-ROW('UV quantification'!$B$36),8),QUOTIENT(ROW('UV quantification'!B121)-ROW('UV quantification'!$B$36),8))</f>
        <v>#DIV/0!</v>
      </c>
      <c r="R88">
        <f ca="1">OFFSET('OP2'!$B$30,MOD(ROW('UV quantification'!B121)-ROW('UV quantification'!$B$36),8),QUOTIENT(ROW('UV quantification'!B121)-ROW('UV quantification'!$B$36),8))</f>
        <v>0</v>
      </c>
      <c r="T88" s="165"/>
    </row>
    <row r="89" spans="1:20" x14ac:dyDescent="0.35">
      <c r="A89" s="39" t="s">
        <v>609</v>
      </c>
      <c r="B89">
        <v>87</v>
      </c>
      <c r="C89" t="s">
        <v>610</v>
      </c>
      <c r="D89" t="str">
        <f ca="1">OFFSET(Syntheses!$B$19,MOD(ROW('UV quantification'!B122)-ROW('UV quantification'!$B$36),8),QUOTIENT(ROW('UV quantification'!B122)-ROW('UV quantification'!$B$36),8))</f>
        <v>nCoV-2019_77_LEFT</v>
      </c>
      <c r="E89" t="str">
        <f ca="1">OFFSET(Syntheses!$B$8,MOD(ROW('UV quantification'!B122)-ROW('UV quantification'!$B$36),8),QUOTIENT(ROW('UV quantification'!B122)-ROW('UV quantification'!$B$36),8))</f>
        <v>CCAGCAACTGTTTGTGGACCTA</v>
      </c>
      <c r="F89">
        <f t="shared" ca="1" si="10"/>
        <v>22</v>
      </c>
      <c r="G89">
        <v>1</v>
      </c>
      <c r="H89" t="s">
        <v>137</v>
      </c>
      <c r="I89" s="165" t="s">
        <v>598</v>
      </c>
      <c r="J89" s="39">
        <f t="shared" ca="1" si="11"/>
        <v>1</v>
      </c>
      <c r="K89">
        <f t="shared" ca="1" si="13"/>
        <v>0</v>
      </c>
      <c r="L89">
        <f t="shared" ca="1" si="13"/>
        <v>1</v>
      </c>
      <c r="M89">
        <f t="shared" ca="1" si="13"/>
        <v>0</v>
      </c>
      <c r="N89" s="165">
        <f t="shared" ca="1" si="12"/>
        <v>0</v>
      </c>
      <c r="O89" s="166" t="str">
        <f>General!$B$1</f>
        <v>200504_P1_HL_ncov2019_Pool1</v>
      </c>
      <c r="P89" t="e">
        <f ca="1">OFFSET('UV quantification'!$B$36,MOD(ROW('UV quantification'!B122)-ROW('UV quantification'!$B$36),8),QUOTIENT(ROW('UV quantification'!B122)-ROW('UV quantification'!$B$36),8))</f>
        <v>#DIV/0!</v>
      </c>
      <c r="Q89" t="e">
        <f ca="1">OFFSET('UV quantification'!$B$26,MOD(ROW('UV quantification'!B122)-ROW('UV quantification'!$B$36),8),QUOTIENT(ROW('UV quantification'!B122)-ROW('UV quantification'!$B$36),8))</f>
        <v>#DIV/0!</v>
      </c>
      <c r="R89">
        <f ca="1">OFFSET('OP2'!$B$30,MOD(ROW('UV quantification'!B122)-ROW('UV quantification'!$B$36),8),QUOTIENT(ROW('UV quantification'!B122)-ROW('UV quantification'!$B$36),8))</f>
        <v>0</v>
      </c>
      <c r="T89" s="165"/>
    </row>
    <row r="90" spans="1:20" x14ac:dyDescent="0.35">
      <c r="A90" s="39" t="s">
        <v>611</v>
      </c>
      <c r="B90">
        <v>88</v>
      </c>
      <c r="C90" t="s">
        <v>612</v>
      </c>
      <c r="D90" t="str">
        <f ca="1">OFFSET(Syntheses!$B$19,MOD(ROW('UV quantification'!B123)-ROW('UV quantification'!$B$36),8),QUOTIENT(ROW('UV quantification'!B123)-ROW('UV quantification'!$B$36),8))</f>
        <v>nCoV-2019_77_RIGHT</v>
      </c>
      <c r="E90" t="str">
        <f ca="1">OFFSET(Syntheses!$B$8,MOD(ROW('UV quantification'!B123)-ROW('UV quantification'!$B$36),8),QUOTIENT(ROW('UV quantification'!B123)-ROW('UV quantification'!$B$36),8))</f>
        <v>CAGCCCCTATTAAACAGCCTGC</v>
      </c>
      <c r="F90">
        <f t="shared" ca="1" si="10"/>
        <v>22</v>
      </c>
      <c r="G90">
        <v>1</v>
      </c>
      <c r="H90" t="s">
        <v>150</v>
      </c>
      <c r="I90" s="165" t="s">
        <v>598</v>
      </c>
      <c r="J90" s="39">
        <f t="shared" ca="1" si="11"/>
        <v>2</v>
      </c>
      <c r="K90">
        <f t="shared" ca="1" si="13"/>
        <v>1</v>
      </c>
      <c r="L90">
        <f t="shared" ca="1" si="13"/>
        <v>1</v>
      </c>
      <c r="M90">
        <f t="shared" ca="1" si="13"/>
        <v>0</v>
      </c>
      <c r="N90" s="165">
        <f t="shared" ca="1" si="12"/>
        <v>0</v>
      </c>
      <c r="O90" s="166" t="str">
        <f>General!$B$1</f>
        <v>200504_P1_HL_ncov2019_Pool1</v>
      </c>
      <c r="P90" t="e">
        <f ca="1">OFFSET('UV quantification'!$B$36,MOD(ROW('UV quantification'!B123)-ROW('UV quantification'!$B$36),8),QUOTIENT(ROW('UV quantification'!B123)-ROW('UV quantification'!$B$36),8))</f>
        <v>#DIV/0!</v>
      </c>
      <c r="Q90" t="e">
        <f ca="1">OFFSET('UV quantification'!$B$26,MOD(ROW('UV quantification'!B123)-ROW('UV quantification'!$B$36),8),QUOTIENT(ROW('UV quantification'!B123)-ROW('UV quantification'!$B$36),8))</f>
        <v>#DIV/0!</v>
      </c>
      <c r="R90">
        <f ca="1">OFFSET('OP2'!$B$30,MOD(ROW('UV quantification'!B123)-ROW('UV quantification'!$B$36),8),QUOTIENT(ROW('UV quantification'!B123)-ROW('UV quantification'!$B$36),8))</f>
        <v>0</v>
      </c>
      <c r="T90" s="165"/>
    </row>
    <row r="91" spans="1:20" x14ac:dyDescent="0.35">
      <c r="A91" s="39" t="s">
        <v>613</v>
      </c>
      <c r="B91">
        <v>89</v>
      </c>
      <c r="C91" t="s">
        <v>614</v>
      </c>
      <c r="D91" t="str">
        <f ca="1">OFFSET(Syntheses!$B$19,MOD(ROW('UV quantification'!B124)-ROW('UV quantification'!$B$36),8),QUOTIENT(ROW('UV quantification'!B124)-ROW('UV quantification'!$B$36),8))</f>
        <v>nCoV-2019_79_LEFT</v>
      </c>
      <c r="E91" t="str">
        <f ca="1">OFFSET(Syntheses!$B$8,MOD(ROW('UV quantification'!B124)-ROW('UV quantification'!$B$36),8),QUOTIENT(ROW('UV quantification'!B124)-ROW('UV quantification'!$B$36),8))</f>
        <v>GTGGTGATTCAACTGAATGCAGC</v>
      </c>
      <c r="F91">
        <f t="shared" ca="1" si="10"/>
        <v>23</v>
      </c>
      <c r="G91">
        <v>1</v>
      </c>
      <c r="H91" t="s">
        <v>59</v>
      </c>
      <c r="I91" s="165" t="s">
        <v>615</v>
      </c>
      <c r="J91" s="39">
        <f t="shared" ca="1" si="11"/>
        <v>0</v>
      </c>
      <c r="K91">
        <f t="shared" ca="1" si="13"/>
        <v>0</v>
      </c>
      <c r="L91">
        <f t="shared" ca="1" si="13"/>
        <v>0</v>
      </c>
      <c r="M91">
        <f t="shared" ca="1" si="13"/>
        <v>0</v>
      </c>
      <c r="N91" s="165">
        <f t="shared" ca="1" si="12"/>
        <v>0</v>
      </c>
      <c r="O91" s="166" t="str">
        <f>General!$B$1</f>
        <v>200504_P1_HL_ncov2019_Pool1</v>
      </c>
      <c r="P91" t="e">
        <f ca="1">OFFSET('UV quantification'!$B$36,MOD(ROW('UV quantification'!B124)-ROW('UV quantification'!$B$36),8),QUOTIENT(ROW('UV quantification'!B124)-ROW('UV quantification'!$B$36),8))</f>
        <v>#DIV/0!</v>
      </c>
      <c r="Q91" t="e">
        <f ca="1">OFFSET('UV quantification'!$B$26,MOD(ROW('UV quantification'!B124)-ROW('UV quantification'!$B$36),8),QUOTIENT(ROW('UV quantification'!B124)-ROW('UV quantification'!$B$36),8))</f>
        <v>#DIV/0!</v>
      </c>
      <c r="R91">
        <f ca="1">OFFSET('OP2'!$B$30,MOD(ROW('UV quantification'!B124)-ROW('UV quantification'!$B$36),8),QUOTIENT(ROW('UV quantification'!B124)-ROW('UV quantification'!$B$36),8))</f>
        <v>0</v>
      </c>
      <c r="T91" s="165"/>
    </row>
    <row r="92" spans="1:20" x14ac:dyDescent="0.35">
      <c r="A92" s="39" t="s">
        <v>616</v>
      </c>
      <c r="B92">
        <v>90</v>
      </c>
      <c r="C92" t="s">
        <v>617</v>
      </c>
      <c r="D92" t="str">
        <f ca="1">OFFSET(Syntheses!$B$19,MOD(ROW('UV quantification'!B125)-ROW('UV quantification'!$B$36),8),QUOTIENT(ROW('UV quantification'!B125)-ROW('UV quantification'!$B$36),8))</f>
        <v>nCoV-2019_79_RIGHT</v>
      </c>
      <c r="E92" t="str">
        <f ca="1">OFFSET(Syntheses!$B$8,MOD(ROW('UV quantification'!B125)-ROW('UV quantification'!$B$36),8),QUOTIENT(ROW('UV quantification'!B125)-ROW('UV quantification'!$B$36),8))</f>
        <v>CATTTCATCTGTGAGCAAAGGTGG</v>
      </c>
      <c r="F92">
        <f t="shared" ca="1" si="10"/>
        <v>24</v>
      </c>
      <c r="G92">
        <v>1</v>
      </c>
      <c r="H92" t="s">
        <v>72</v>
      </c>
      <c r="I92" s="165" t="s">
        <v>615</v>
      </c>
      <c r="J92" s="39">
        <f t="shared" ca="1" si="11"/>
        <v>0</v>
      </c>
      <c r="K92">
        <f t="shared" ca="1" si="13"/>
        <v>0</v>
      </c>
      <c r="L92">
        <f t="shared" ca="1" si="13"/>
        <v>0</v>
      </c>
      <c r="M92">
        <f t="shared" ca="1" si="13"/>
        <v>0</v>
      </c>
      <c r="N92" s="165">
        <f t="shared" ca="1" si="12"/>
        <v>0</v>
      </c>
      <c r="O92" s="166" t="str">
        <f>General!$B$1</f>
        <v>200504_P1_HL_ncov2019_Pool1</v>
      </c>
      <c r="P92" t="e">
        <f ca="1">OFFSET('UV quantification'!$B$36,MOD(ROW('UV quantification'!B125)-ROW('UV quantification'!$B$36),8),QUOTIENT(ROW('UV quantification'!B125)-ROW('UV quantification'!$B$36),8))</f>
        <v>#DIV/0!</v>
      </c>
      <c r="Q92" t="e">
        <f ca="1">OFFSET('UV quantification'!$B$26,MOD(ROW('UV quantification'!B125)-ROW('UV quantification'!$B$36),8),QUOTIENT(ROW('UV quantification'!B125)-ROW('UV quantification'!$B$36),8))</f>
        <v>#DIV/0!</v>
      </c>
      <c r="R92">
        <f ca="1">OFFSET('OP2'!$B$30,MOD(ROW('UV quantification'!B125)-ROW('UV quantification'!$B$36),8),QUOTIENT(ROW('UV quantification'!B125)-ROW('UV quantification'!$B$36),8))</f>
        <v>0</v>
      </c>
      <c r="T92" s="165"/>
    </row>
    <row r="93" spans="1:20" x14ac:dyDescent="0.35">
      <c r="A93" s="39" t="s">
        <v>618</v>
      </c>
      <c r="B93">
        <v>91</v>
      </c>
      <c r="C93" t="s">
        <v>619</v>
      </c>
      <c r="D93" t="str">
        <f ca="1">OFFSET(Syntheses!$B$19,MOD(ROW('UV quantification'!B126)-ROW('UV quantification'!$B$36),8),QUOTIENT(ROW('UV quantification'!B126)-ROW('UV quantification'!$B$36),8))</f>
        <v>nCoV-2019_81_LEFT</v>
      </c>
      <c r="E93" t="str">
        <f ca="1">OFFSET(Syntheses!$B$8,MOD(ROW('UV quantification'!B126)-ROW('UV quantification'!$B$36),8),QUOTIENT(ROW('UV quantification'!B126)-ROW('UV quantification'!$B$36),8))</f>
        <v>GCACTTGGAAAACTTCAAGATGTGG</v>
      </c>
      <c r="F93">
        <f t="shared" ca="1" si="10"/>
        <v>25</v>
      </c>
      <c r="G93">
        <v>1</v>
      </c>
      <c r="H93" t="s">
        <v>85</v>
      </c>
      <c r="I93" s="165" t="s">
        <v>615</v>
      </c>
      <c r="J93" s="39">
        <f t="shared" ca="1" si="11"/>
        <v>0</v>
      </c>
      <c r="K93">
        <f t="shared" ca="1" si="13"/>
        <v>0</v>
      </c>
      <c r="L93">
        <f t="shared" ca="1" si="13"/>
        <v>0</v>
      </c>
      <c r="M93">
        <f t="shared" ca="1" si="13"/>
        <v>0</v>
      </c>
      <c r="N93" s="165">
        <f t="shared" ca="1" si="12"/>
        <v>0</v>
      </c>
      <c r="O93" s="166" t="str">
        <f>General!$B$1</f>
        <v>200504_P1_HL_ncov2019_Pool1</v>
      </c>
      <c r="P93" t="e">
        <f ca="1">OFFSET('UV quantification'!$B$36,MOD(ROW('UV quantification'!B126)-ROW('UV quantification'!$B$36),8),QUOTIENT(ROW('UV quantification'!B126)-ROW('UV quantification'!$B$36),8))</f>
        <v>#DIV/0!</v>
      </c>
      <c r="Q93" t="e">
        <f ca="1">OFFSET('UV quantification'!$B$26,MOD(ROW('UV quantification'!B126)-ROW('UV quantification'!$B$36),8),QUOTIENT(ROW('UV quantification'!B126)-ROW('UV quantification'!$B$36),8))</f>
        <v>#DIV/0!</v>
      </c>
      <c r="R93">
        <f ca="1">OFFSET('OP2'!$B$30,MOD(ROW('UV quantification'!B126)-ROW('UV quantification'!$B$36),8),QUOTIENT(ROW('UV quantification'!B126)-ROW('UV quantification'!$B$36),8))</f>
        <v>0</v>
      </c>
      <c r="T93" s="165"/>
    </row>
    <row r="94" spans="1:20" x14ac:dyDescent="0.35">
      <c r="A94" s="39" t="s">
        <v>620</v>
      </c>
      <c r="B94">
        <v>92</v>
      </c>
      <c r="C94" t="s">
        <v>621</v>
      </c>
      <c r="D94" t="str">
        <f ca="1">OFFSET(Syntheses!$B$19,MOD(ROW('UV quantification'!B127)-ROW('UV quantification'!$B$36),8),QUOTIENT(ROW('UV quantification'!B127)-ROW('UV quantification'!$B$36),8))</f>
        <v>nCoV-2019_81_RIGHT</v>
      </c>
      <c r="E94" t="str">
        <f ca="1">OFFSET(Syntheses!$B$8,MOD(ROW('UV quantification'!B127)-ROW('UV quantification'!$B$36),8),QUOTIENT(ROW('UV quantification'!B127)-ROW('UV quantification'!$B$36),8))</f>
        <v>GTGAAGTTCTTTTCTTGTGCAGGG</v>
      </c>
      <c r="F94">
        <f t="shared" ca="1" si="10"/>
        <v>24</v>
      </c>
      <c r="G94">
        <v>1</v>
      </c>
      <c r="H94" t="s">
        <v>98</v>
      </c>
      <c r="I94" s="165" t="s">
        <v>615</v>
      </c>
      <c r="J94" s="39">
        <f t="shared" ca="1" si="11"/>
        <v>0</v>
      </c>
      <c r="K94">
        <f t="shared" ca="1" si="13"/>
        <v>0</v>
      </c>
      <c r="L94">
        <f t="shared" ca="1" si="13"/>
        <v>0</v>
      </c>
      <c r="M94">
        <f t="shared" ca="1" si="13"/>
        <v>0</v>
      </c>
      <c r="N94" s="165">
        <f t="shared" ca="1" si="12"/>
        <v>0</v>
      </c>
      <c r="O94" s="166" t="str">
        <f>General!$B$1</f>
        <v>200504_P1_HL_ncov2019_Pool1</v>
      </c>
      <c r="P94" t="e">
        <f ca="1">OFFSET('UV quantification'!$B$36,MOD(ROW('UV quantification'!B127)-ROW('UV quantification'!$B$36),8),QUOTIENT(ROW('UV quantification'!B127)-ROW('UV quantification'!$B$36),8))</f>
        <v>#DIV/0!</v>
      </c>
      <c r="Q94" t="e">
        <f ca="1">OFFSET('UV quantification'!$B$26,MOD(ROW('UV quantification'!B127)-ROW('UV quantification'!$B$36),8),QUOTIENT(ROW('UV quantification'!B127)-ROW('UV quantification'!$B$36),8))</f>
        <v>#DIV/0!</v>
      </c>
      <c r="R94">
        <f ca="1">OFFSET('OP2'!$B$30,MOD(ROW('UV quantification'!B127)-ROW('UV quantification'!$B$36),8),QUOTIENT(ROW('UV quantification'!B127)-ROW('UV quantification'!$B$36),8))</f>
        <v>0</v>
      </c>
      <c r="T94" s="165"/>
    </row>
    <row r="95" spans="1:20" x14ac:dyDescent="0.35">
      <c r="A95" s="39" t="s">
        <v>622</v>
      </c>
      <c r="B95">
        <v>93</v>
      </c>
      <c r="C95" t="s">
        <v>623</v>
      </c>
      <c r="D95" t="str">
        <f ca="1">OFFSET(Syntheses!$B$19,MOD(ROW('UV quantification'!B128)-ROW('UV quantification'!$B$36),8),QUOTIENT(ROW('UV quantification'!B128)-ROW('UV quantification'!$B$36),8))</f>
        <v>nCoV-2019_83_LEFT</v>
      </c>
      <c r="E95" t="str">
        <f ca="1">OFFSET(Syntheses!$B$8,MOD(ROW('UV quantification'!B128)-ROW('UV quantification'!$B$36),8),QUOTIENT(ROW('UV quantification'!B128)-ROW('UV quantification'!$B$36),8))</f>
        <v>TCCTTTGCAACCTGAATTAGACTCA</v>
      </c>
      <c r="F95">
        <f t="shared" ca="1" si="10"/>
        <v>25</v>
      </c>
      <c r="G95">
        <v>1</v>
      </c>
      <c r="H95" t="s">
        <v>111</v>
      </c>
      <c r="I95" s="165" t="s">
        <v>615</v>
      </c>
      <c r="J95" s="39">
        <f t="shared" ca="1" si="11"/>
        <v>0</v>
      </c>
      <c r="K95">
        <f t="shared" ca="1" si="13"/>
        <v>0</v>
      </c>
      <c r="L95">
        <f t="shared" ca="1" si="13"/>
        <v>0</v>
      </c>
      <c r="M95">
        <f t="shared" ca="1" si="13"/>
        <v>0</v>
      </c>
      <c r="N95" s="165">
        <f t="shared" ca="1" si="12"/>
        <v>0</v>
      </c>
      <c r="O95" s="166" t="str">
        <f>General!$B$1</f>
        <v>200504_P1_HL_ncov2019_Pool1</v>
      </c>
      <c r="P95" t="e">
        <f ca="1">OFFSET('UV quantification'!$B$36,MOD(ROW('UV quantification'!B128)-ROW('UV quantification'!$B$36),8),QUOTIENT(ROW('UV quantification'!B128)-ROW('UV quantification'!$B$36),8))</f>
        <v>#DIV/0!</v>
      </c>
      <c r="Q95" t="e">
        <f ca="1">OFFSET('UV quantification'!$B$26,MOD(ROW('UV quantification'!B128)-ROW('UV quantification'!$B$36),8),QUOTIENT(ROW('UV quantification'!B128)-ROW('UV quantification'!$B$36),8))</f>
        <v>#DIV/0!</v>
      </c>
      <c r="R95">
        <f ca="1">OFFSET('OP2'!$B$30,MOD(ROW('UV quantification'!B128)-ROW('UV quantification'!$B$36),8),QUOTIENT(ROW('UV quantification'!B128)-ROW('UV quantification'!$B$36),8))</f>
        <v>0</v>
      </c>
      <c r="T95" s="165"/>
    </row>
    <row r="96" spans="1:20" x14ac:dyDescent="0.35">
      <c r="A96" s="39" t="s">
        <v>624</v>
      </c>
      <c r="B96">
        <v>94</v>
      </c>
      <c r="C96" t="s">
        <v>625</v>
      </c>
      <c r="D96" t="str">
        <f ca="1">OFFSET(Syntheses!$B$19,MOD(ROW('UV quantification'!B129)-ROW('UV quantification'!$B$36),8),QUOTIENT(ROW('UV quantification'!B129)-ROW('UV quantification'!$B$36),8))</f>
        <v>nCoV-2019_83_RIGHT</v>
      </c>
      <c r="E96" t="str">
        <f ca="1">OFFSET(Syntheses!$B$8,MOD(ROW('UV quantification'!B129)-ROW('UV quantification'!$B$36),8),QUOTIENT(ROW('UV quantification'!B129)-ROW('UV quantification'!$B$36),8))</f>
        <v>TTTGACTCCTTTGAGCACTGGC</v>
      </c>
      <c r="F96">
        <f t="shared" ca="1" si="10"/>
        <v>22</v>
      </c>
      <c r="G96">
        <v>1</v>
      </c>
      <c r="H96" t="s">
        <v>124</v>
      </c>
      <c r="I96" s="165" t="s">
        <v>615</v>
      </c>
      <c r="J96" s="39">
        <f t="shared" ca="1" si="11"/>
        <v>0</v>
      </c>
      <c r="K96">
        <f t="shared" ca="1" si="13"/>
        <v>0</v>
      </c>
      <c r="L96">
        <f t="shared" ca="1" si="13"/>
        <v>0</v>
      </c>
      <c r="M96">
        <f t="shared" ca="1" si="13"/>
        <v>0</v>
      </c>
      <c r="N96" s="165">
        <f t="shared" ca="1" si="12"/>
        <v>0</v>
      </c>
      <c r="O96" s="166" t="str">
        <f>General!$B$1</f>
        <v>200504_P1_HL_ncov2019_Pool1</v>
      </c>
      <c r="P96" t="e">
        <f ca="1">OFFSET('UV quantification'!$B$36,MOD(ROW('UV quantification'!B129)-ROW('UV quantification'!$B$36),8),QUOTIENT(ROW('UV quantification'!B129)-ROW('UV quantification'!$B$36),8))</f>
        <v>#DIV/0!</v>
      </c>
      <c r="Q96" t="e">
        <f ca="1">OFFSET('UV quantification'!$B$26,MOD(ROW('UV quantification'!B129)-ROW('UV quantification'!$B$36),8),QUOTIENT(ROW('UV quantification'!B129)-ROW('UV quantification'!$B$36),8))</f>
        <v>#DIV/0!</v>
      </c>
      <c r="R96">
        <f ca="1">OFFSET('OP2'!$B$30,MOD(ROW('UV quantification'!B129)-ROW('UV quantification'!$B$36),8),QUOTIENT(ROW('UV quantification'!B129)-ROW('UV quantification'!$B$36),8))</f>
        <v>0</v>
      </c>
      <c r="T96" s="165"/>
    </row>
    <row r="97" spans="1:20" x14ac:dyDescent="0.35">
      <c r="A97" s="39" t="s">
        <v>626</v>
      </c>
      <c r="B97">
        <v>95</v>
      </c>
      <c r="C97" t="s">
        <v>627</v>
      </c>
      <c r="D97" t="str">
        <f ca="1">OFFSET(Syntheses!$B$19,MOD(ROW('UV quantification'!B130)-ROW('UV quantification'!$B$36),8),QUOTIENT(ROW('UV quantification'!B130)-ROW('UV quantification'!$B$36),8))</f>
        <v>nCoV-2019_85_LEFT</v>
      </c>
      <c r="E97" t="str">
        <f ca="1">OFFSET(Syntheses!$B$8,MOD(ROW('UV quantification'!B130)-ROW('UV quantification'!$B$36),8),QUOTIENT(ROW('UV quantification'!B130)-ROW('UV quantification'!$B$36),8))</f>
        <v>ACTAGCACTCTCCAAGGGTGTT</v>
      </c>
      <c r="F97">
        <f t="shared" ca="1" si="10"/>
        <v>22</v>
      </c>
      <c r="G97">
        <v>1</v>
      </c>
      <c r="H97" t="s">
        <v>137</v>
      </c>
      <c r="I97" s="165" t="s">
        <v>615</v>
      </c>
      <c r="J97" s="39">
        <f t="shared" ca="1" si="11"/>
        <v>1</v>
      </c>
      <c r="K97">
        <f t="shared" ca="1" si="13"/>
        <v>0</v>
      </c>
      <c r="L97">
        <f t="shared" ca="1" si="13"/>
        <v>0</v>
      </c>
      <c r="M97">
        <f t="shared" ca="1" si="13"/>
        <v>0</v>
      </c>
      <c r="N97" s="165">
        <f t="shared" ca="1" si="12"/>
        <v>1</v>
      </c>
      <c r="O97" s="166" t="str">
        <f>General!$B$1</f>
        <v>200504_P1_HL_ncov2019_Pool1</v>
      </c>
      <c r="P97" t="e">
        <f ca="1">OFFSET('UV quantification'!$B$36,MOD(ROW('UV quantification'!B130)-ROW('UV quantification'!$B$36),8),QUOTIENT(ROW('UV quantification'!B130)-ROW('UV quantification'!$B$36),8))</f>
        <v>#DIV/0!</v>
      </c>
      <c r="Q97" t="e">
        <f ca="1">OFFSET('UV quantification'!$B$26,MOD(ROW('UV quantification'!B130)-ROW('UV quantification'!$B$36),8),QUOTIENT(ROW('UV quantification'!B130)-ROW('UV quantification'!$B$36),8))</f>
        <v>#DIV/0!</v>
      </c>
      <c r="R97">
        <f ca="1">OFFSET('OP2'!$B$30,MOD(ROW('UV quantification'!B130)-ROW('UV quantification'!$B$36),8),QUOTIENT(ROW('UV quantification'!B130)-ROW('UV quantification'!$B$36),8))</f>
        <v>0</v>
      </c>
      <c r="T97" s="165"/>
    </row>
    <row r="98" spans="1:20" ht="15" customHeight="1" thickBot="1" x14ac:dyDescent="0.4">
      <c r="A98" s="36" t="s">
        <v>628</v>
      </c>
      <c r="B98" s="37">
        <v>96</v>
      </c>
      <c r="C98" s="37" t="s">
        <v>629</v>
      </c>
      <c r="D98" s="37" t="str">
        <f ca="1">OFFSET(Syntheses!$B$19,MOD(ROW('UV quantification'!B131)-ROW('UV quantification'!$B$36),8),QUOTIENT(ROW('UV quantification'!B131)-ROW('UV quantification'!$B$36),8))</f>
        <v>nCoV-2019_85_RIGHT</v>
      </c>
      <c r="E98" s="37" t="str">
        <f ca="1">OFFSET(Syntheses!$B$8,MOD(ROW('UV quantification'!B131)-ROW('UV quantification'!$B$36),8),QUOTIENT(ROW('UV quantification'!B131)-ROW('UV quantification'!$B$36),8))</f>
        <v>ACACAGTCTTTTACTCCAGATTCCC</v>
      </c>
      <c r="F98" s="37">
        <f t="shared" ca="1" si="10"/>
        <v>25</v>
      </c>
      <c r="G98" s="37">
        <v>1</v>
      </c>
      <c r="H98" s="37" t="s">
        <v>150</v>
      </c>
      <c r="I98" s="38" t="s">
        <v>615</v>
      </c>
      <c r="J98" s="36">
        <f t="shared" ca="1" si="11"/>
        <v>0</v>
      </c>
      <c r="K98" s="37">
        <f t="shared" ca="1" si="13"/>
        <v>0</v>
      </c>
      <c r="L98" s="37">
        <f t="shared" ca="1" si="13"/>
        <v>0</v>
      </c>
      <c r="M98" s="37">
        <f t="shared" ca="1" si="13"/>
        <v>0</v>
      </c>
      <c r="N98" s="38">
        <f t="shared" ca="1" si="12"/>
        <v>0</v>
      </c>
      <c r="O98" s="167" t="str">
        <f>General!$B$1</f>
        <v>200504_P1_HL_ncov2019_Pool1</v>
      </c>
      <c r="P98" s="37" t="e">
        <f ca="1">OFFSET('UV quantification'!$B$36,MOD(ROW('UV quantification'!B131)-ROW('UV quantification'!$B$36),8),QUOTIENT(ROW('UV quantification'!B131)-ROW('UV quantification'!$B$36),8))</f>
        <v>#DIV/0!</v>
      </c>
      <c r="Q98" s="37" t="e">
        <f ca="1">OFFSET('UV quantification'!$B$26,MOD(ROW('UV quantification'!B131)-ROW('UV quantification'!$B$36),8),QUOTIENT(ROW('UV quantification'!B131)-ROW('UV quantification'!$B$36),8))</f>
        <v>#DIV/0!</v>
      </c>
      <c r="R98" s="37">
        <f ca="1">OFFSET('OP2'!$B$30,MOD(ROW('UV quantification'!B131)-ROW('UV quantification'!$B$36),8),QUOTIENT(ROW('UV quantification'!B131)-ROW('UV quantification'!$B$36),8))</f>
        <v>0</v>
      </c>
      <c r="S98" s="37"/>
      <c r="T98" s="38"/>
    </row>
    <row r="103" spans="1:20" s="173" customFormat="1" x14ac:dyDescent="0.35">
      <c r="B103" s="316" t="s">
        <v>630</v>
      </c>
      <c r="C103" s="317"/>
      <c r="D103" s="174"/>
      <c r="E103" s="174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</row>
    <row r="107" spans="1:20" x14ac:dyDescent="0.35">
      <c r="B107" s="176" t="s">
        <v>631</v>
      </c>
      <c r="O107" s="176" t="s">
        <v>406</v>
      </c>
    </row>
    <row r="108" spans="1:20" ht="15" customHeight="1" thickBot="1" x14ac:dyDescent="0.4"/>
    <row r="109" spans="1:20" ht="15" customHeight="1" thickBot="1" x14ac:dyDescent="0.4">
      <c r="B109" s="14" t="s">
        <v>632</v>
      </c>
      <c r="C109" s="177" t="s">
        <v>633</v>
      </c>
      <c r="D109" s="178" t="s">
        <v>634</v>
      </c>
      <c r="O109" s="14" t="s">
        <v>632</v>
      </c>
      <c r="P109" s="177" t="s">
        <v>633</v>
      </c>
      <c r="Q109" s="178" t="s">
        <v>634</v>
      </c>
    </row>
    <row r="110" spans="1:20" x14ac:dyDescent="0.35">
      <c r="B110">
        <v>0</v>
      </c>
      <c r="C110" s="33" t="s">
        <v>635</v>
      </c>
      <c r="D110" s="35" t="e">
        <f t="array" aca="1" ref="D110" ca="1">FREQUENCY(P3:P98,B110:B120)</f>
        <v>#DIV/0!</v>
      </c>
      <c r="O110">
        <v>0</v>
      </c>
      <c r="P110" s="33" t="s">
        <v>635</v>
      </c>
      <c r="Q110" s="35">
        <f t="array" aca="1" ref="Q110:Q121" ca="1">FREQUENCY(R3:R98,O110:O120)</f>
        <v>96</v>
      </c>
    </row>
    <row r="111" spans="1:20" x14ac:dyDescent="0.35">
      <c r="B111">
        <v>50</v>
      </c>
      <c r="C111" s="39" t="str">
        <f t="shared" ref="C111:C120" si="14">B110&amp;"-"&amp;B111</f>
        <v>0-50</v>
      </c>
      <c r="D111" s="165"/>
      <c r="O111">
        <v>50</v>
      </c>
      <c r="P111" s="39" t="str">
        <f t="shared" ref="P111:P120" si="15">O110&amp;"-"&amp;O111</f>
        <v>0-50</v>
      </c>
      <c r="Q111" s="165">
        <f ca="1"/>
        <v>0</v>
      </c>
    </row>
    <row r="112" spans="1:20" x14ac:dyDescent="0.35">
      <c r="B112">
        <v>100</v>
      </c>
      <c r="C112" s="39" t="str">
        <f t="shared" si="14"/>
        <v>50-100</v>
      </c>
      <c r="D112" s="165"/>
      <c r="O112">
        <v>100</v>
      </c>
      <c r="P112" s="39" t="str">
        <f t="shared" si="15"/>
        <v>50-100</v>
      </c>
      <c r="Q112" s="165">
        <f ca="1"/>
        <v>0</v>
      </c>
    </row>
    <row r="113" spans="2:17" x14ac:dyDescent="0.35">
      <c r="B113">
        <v>150</v>
      </c>
      <c r="C113" s="39" t="str">
        <f t="shared" si="14"/>
        <v>100-150</v>
      </c>
      <c r="D113" s="165"/>
      <c r="O113">
        <v>150</v>
      </c>
      <c r="P113" s="39" t="str">
        <f t="shared" si="15"/>
        <v>100-150</v>
      </c>
      <c r="Q113" s="165">
        <f ca="1"/>
        <v>0</v>
      </c>
    </row>
    <row r="114" spans="2:17" x14ac:dyDescent="0.35">
      <c r="B114">
        <v>200</v>
      </c>
      <c r="C114" s="39" t="str">
        <f t="shared" si="14"/>
        <v>150-200</v>
      </c>
      <c r="D114" s="165"/>
      <c r="O114">
        <v>200</v>
      </c>
      <c r="P114" s="39" t="str">
        <f t="shared" si="15"/>
        <v>150-200</v>
      </c>
      <c r="Q114" s="165">
        <f ca="1"/>
        <v>0</v>
      </c>
    </row>
    <row r="115" spans="2:17" x14ac:dyDescent="0.35">
      <c r="B115">
        <v>250</v>
      </c>
      <c r="C115" s="39" t="str">
        <f t="shared" si="14"/>
        <v>200-250</v>
      </c>
      <c r="D115" s="165"/>
      <c r="O115">
        <v>250</v>
      </c>
      <c r="P115" s="39" t="str">
        <f t="shared" si="15"/>
        <v>200-250</v>
      </c>
      <c r="Q115" s="165">
        <f ca="1"/>
        <v>0</v>
      </c>
    </row>
    <row r="116" spans="2:17" x14ac:dyDescent="0.35">
      <c r="B116">
        <v>300</v>
      </c>
      <c r="C116" s="39" t="str">
        <f t="shared" si="14"/>
        <v>250-300</v>
      </c>
      <c r="D116" s="165"/>
      <c r="O116">
        <v>300</v>
      </c>
      <c r="P116" s="39" t="str">
        <f t="shared" si="15"/>
        <v>250-300</v>
      </c>
      <c r="Q116" s="165">
        <f ca="1"/>
        <v>0</v>
      </c>
    </row>
    <row r="117" spans="2:17" x14ac:dyDescent="0.35">
      <c r="B117">
        <v>350</v>
      </c>
      <c r="C117" s="39" t="str">
        <f t="shared" si="14"/>
        <v>300-350</v>
      </c>
      <c r="D117" s="165"/>
      <c r="O117">
        <v>350</v>
      </c>
      <c r="P117" s="39" t="str">
        <f t="shared" si="15"/>
        <v>300-350</v>
      </c>
      <c r="Q117" s="165">
        <f ca="1"/>
        <v>0</v>
      </c>
    </row>
    <row r="118" spans="2:17" x14ac:dyDescent="0.35">
      <c r="B118">
        <v>400</v>
      </c>
      <c r="C118" s="39" t="str">
        <f t="shared" si="14"/>
        <v>350-400</v>
      </c>
      <c r="D118" s="165"/>
      <c r="O118">
        <v>400</v>
      </c>
      <c r="P118" s="39" t="str">
        <f t="shared" si="15"/>
        <v>350-400</v>
      </c>
      <c r="Q118" s="165">
        <f ca="1"/>
        <v>0</v>
      </c>
    </row>
    <row r="119" spans="2:17" x14ac:dyDescent="0.35">
      <c r="B119">
        <v>450</v>
      </c>
      <c r="C119" s="39" t="str">
        <f t="shared" si="14"/>
        <v>400-450</v>
      </c>
      <c r="D119" s="165"/>
      <c r="O119">
        <v>450</v>
      </c>
      <c r="P119" s="39" t="str">
        <f t="shared" si="15"/>
        <v>400-450</v>
      </c>
      <c r="Q119" s="165">
        <f ca="1"/>
        <v>0</v>
      </c>
    </row>
    <row r="120" spans="2:17" x14ac:dyDescent="0.35">
      <c r="B120">
        <v>500</v>
      </c>
      <c r="C120" s="39" t="str">
        <f t="shared" si="14"/>
        <v>450-500</v>
      </c>
      <c r="D120" s="165"/>
      <c r="O120">
        <v>500</v>
      </c>
      <c r="P120" s="39" t="str">
        <f t="shared" si="15"/>
        <v>450-500</v>
      </c>
      <c r="Q120" s="165">
        <f ca="1"/>
        <v>0</v>
      </c>
    </row>
    <row r="121" spans="2:17" ht="15" customHeight="1" thickBot="1" x14ac:dyDescent="0.4">
      <c r="B121" s="179"/>
      <c r="C121" s="36" t="str">
        <f>"&gt;"&amp;B120</f>
        <v>&gt;500</v>
      </c>
      <c r="D121" s="38"/>
      <c r="O121" s="179"/>
      <c r="P121" s="36" t="str">
        <f>"&gt;"&amp;O120</f>
        <v>&gt;500</v>
      </c>
      <c r="Q121" s="38">
        <f ca="1"/>
        <v>0</v>
      </c>
    </row>
  </sheetData>
  <mergeCells count="3">
    <mergeCell ref="J1:N1"/>
    <mergeCell ref="O1:T1"/>
    <mergeCell ref="B103:C103"/>
  </mergeCells>
  <conditionalFormatting sqref="J2">
    <cfRule type="cellIs" dxfId="0" priority="1" operator="greaterThanOrEqual">
      <formula>5</formula>
    </cfRule>
  </conditionalFormatting>
  <pageMargins left="0.7" right="0.7" top="0.75" bottom="0.75" header="0.3" footer="0.3"/>
  <pageSetup paperSize="9" orientation="portrait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General</vt:lpstr>
      <vt:lpstr>Syntheses</vt:lpstr>
      <vt:lpstr>Qty reactants</vt:lpstr>
      <vt:lpstr>Size And Resins</vt:lpstr>
      <vt:lpstr>Gel results</vt:lpstr>
      <vt:lpstr>PSP</vt:lpstr>
      <vt:lpstr>QuantificationFluo Results</vt:lpstr>
      <vt:lpstr>UV quantification</vt:lpstr>
      <vt:lpstr>UV raw data</vt:lpstr>
      <vt:lpstr>UV raw data - direct measure</vt:lpstr>
      <vt:lpstr>OP2</vt:lpstr>
      <vt:lpstr>QuantificationFluo Raw data</vt:lpstr>
      <vt:lpstr>Oligos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DUBOS</dc:creator>
  <cp:lastModifiedBy>HL</cp:lastModifiedBy>
  <cp:lastPrinted>2020-03-15T19:14:23Z</cp:lastPrinted>
  <dcterms:created xsi:type="dcterms:W3CDTF">2017-10-06T15:13:15Z</dcterms:created>
  <dcterms:modified xsi:type="dcterms:W3CDTF">2020-05-05T17:38:01Z</dcterms:modified>
</cp:coreProperties>
</file>